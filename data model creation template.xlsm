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da9f1820d624f37/Documents/Repos/etl-framework/"/>
    </mc:Choice>
  </mc:AlternateContent>
  <xr:revisionPtr revIDLastSave="12" documentId="13_ncr:1_{BE07D7B3-CC28-4811-80EA-C62619EC3693}" xr6:coauthVersionLast="45" xr6:coauthVersionMax="45" xr10:uidLastSave="{32AD1C21-3BB4-4F06-AE77-A4CA14870726}"/>
  <bookViews>
    <workbookView xWindow="28680" yWindow="-120" windowWidth="29040" windowHeight="16440" tabRatio="808" activeTab="13" xr2:uid="{00000000-000D-0000-FFFF-FFFF00000000}"/>
  </bookViews>
  <sheets>
    <sheet name="Record Count" sheetId="17" r:id="rId1"/>
    <sheet name="Sample Data" sheetId="2" r:id="rId2"/>
    <sheet name="Create Stage Table" sheetId="3" r:id="rId3"/>
    <sheet name="Char Length Analysis" sheetId="14" r:id="rId4"/>
    <sheet name="Column Notes" sheetId="1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Indexed View Creation Helper" sheetId="15" r:id="rId12"/>
    <sheet name="Date Role Play View Helper" sheetId="16" r:id="rId13"/>
    <sheet name="Reporting View Creation Helper" sheetId="10" r:id="rId14"/>
    <sheet name="List Population Values" sheetId="18" r:id="rId15"/>
  </sheets>
  <functionGroups builtInGroupCount="19"/>
  <definedNames>
    <definedName name="_xlnm._FilterDatabase" localSheetId="4" hidden="1">'Column Notes'!$A$1:$F$12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4" l="1"/>
  <c r="E3" i="14"/>
  <c r="E4" i="14"/>
  <c r="E5" i="14"/>
  <c r="E6" i="14"/>
  <c r="E7" i="14"/>
  <c r="E8" i="14"/>
  <c r="E9" i="14"/>
  <c r="E10" i="14"/>
  <c r="E11" i="14"/>
  <c r="E1" i="14"/>
  <c r="F4" i="10" l="1"/>
  <c r="H4" i="10" s="1"/>
  <c r="F5" i="10"/>
  <c r="H5" i="10" s="1"/>
  <c r="F6" i="10"/>
  <c r="H6" i="10" s="1"/>
  <c r="F7" i="10"/>
  <c r="H7" i="10" s="1"/>
  <c r="F8" i="10"/>
  <c r="H8" i="10" s="1"/>
  <c r="F9" i="10"/>
  <c r="H9" i="10" s="1"/>
  <c r="F10" i="10"/>
  <c r="H10" i="10" s="1"/>
  <c r="F11" i="10"/>
  <c r="H11" i="10" s="1"/>
  <c r="F12" i="10"/>
  <c r="H12" i="10" s="1"/>
  <c r="F13" i="10"/>
  <c r="H13" i="10" s="1"/>
  <c r="F14" i="10"/>
  <c r="H14" i="10" s="1"/>
  <c r="F15" i="10"/>
  <c r="H15" i="10" s="1"/>
  <c r="F16" i="10"/>
  <c r="H16" i="10" s="1"/>
  <c r="F17" i="10"/>
  <c r="H17" i="10" s="1"/>
  <c r="F18" i="10"/>
  <c r="H18" i="10" s="1"/>
  <c r="F19" i="10"/>
  <c r="H19" i="10" s="1"/>
  <c r="F20" i="10"/>
  <c r="H20" i="10" s="1"/>
  <c r="F21" i="10"/>
  <c r="H21" i="10" s="1"/>
  <c r="F22" i="10"/>
  <c r="H22" i="10" s="1"/>
  <c r="F23" i="10"/>
  <c r="H23" i="10" s="1"/>
  <c r="F24" i="10"/>
  <c r="H24" i="10" s="1"/>
  <c r="F25" i="10"/>
  <c r="H25" i="10" s="1"/>
  <c r="F26" i="10"/>
  <c r="H26" i="10" s="1"/>
  <c r="F27" i="10"/>
  <c r="H27" i="10" s="1"/>
  <c r="F28" i="10"/>
  <c r="H28" i="10" s="1"/>
  <c r="F29" i="10"/>
  <c r="H29" i="10" s="1"/>
  <c r="F30" i="10"/>
  <c r="H30" i="10" s="1"/>
  <c r="F31" i="10"/>
  <c r="H31" i="10" s="1"/>
  <c r="F3" i="10"/>
  <c r="H3" i="10" s="1"/>
  <c r="I4" i="11"/>
  <c r="I6" i="11"/>
  <c r="A4" i="11"/>
  <c r="B4" i="11"/>
  <c r="A5" i="11"/>
  <c r="I5" i="11" s="1"/>
  <c r="B5" i="11"/>
  <c r="A6" i="11"/>
  <c r="B6" i="11"/>
  <c r="B3" i="11"/>
  <c r="A3" i="11"/>
  <c r="I3" i="11" s="1"/>
  <c r="G4" i="5"/>
  <c r="D4" i="11" s="1"/>
  <c r="H4" i="11" s="1"/>
  <c r="G5" i="5"/>
  <c r="D5" i="11" s="1"/>
  <c r="H5" i="11" s="1"/>
  <c r="G6" i="5"/>
  <c r="D6" i="11" s="1"/>
  <c r="H6" i="11" s="1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C5" i="7"/>
  <c r="D5" i="7"/>
  <c r="C6" i="7"/>
  <c r="D6" i="7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A4" i="8"/>
  <c r="A5" i="8"/>
  <c r="B5" i="8" s="1"/>
  <c r="A6" i="8"/>
  <c r="A7" i="8"/>
  <c r="A3" i="8"/>
  <c r="B3" i="8" s="1"/>
  <c r="B26" i="15"/>
  <c r="B3" i="15"/>
  <c r="B9" i="15"/>
  <c r="B12" i="16"/>
  <c r="B29" i="15"/>
  <c r="B5" i="15"/>
  <c r="B22" i="15"/>
  <c r="B11" i="16"/>
  <c r="B15" i="15"/>
  <c r="B17" i="16"/>
  <c r="B30" i="15"/>
  <c r="B5" i="16"/>
  <c r="B14" i="15"/>
  <c r="B27" i="15"/>
  <c r="B17" i="15"/>
  <c r="B11" i="15"/>
  <c r="B14" i="16"/>
  <c r="B23" i="15"/>
  <c r="B18" i="16"/>
  <c r="B28" i="15"/>
  <c r="B4" i="16"/>
  <c r="B21" i="16"/>
  <c r="B7" i="15"/>
  <c r="B20" i="15"/>
  <c r="B18" i="15"/>
  <c r="B15" i="16"/>
  <c r="B31" i="15"/>
  <c r="B7" i="16"/>
  <c r="B19" i="15"/>
  <c r="B16" i="16"/>
  <c r="B6" i="16"/>
  <c r="B13" i="15"/>
  <c r="B10" i="16"/>
  <c r="B3" i="16"/>
  <c r="B16" i="15"/>
  <c r="B4" i="15"/>
  <c r="B13" i="16"/>
  <c r="B8" i="15"/>
  <c r="B12" i="15"/>
  <c r="B8" i="16"/>
  <c r="B10" i="15"/>
  <c r="B20" i="16"/>
  <c r="B21" i="15"/>
  <c r="B6" i="15"/>
  <c r="B25" i="15"/>
  <c r="B19" i="16"/>
  <c r="B9" i="16"/>
  <c r="B24" i="15"/>
  <c r="E3" i="7" l="1"/>
  <c r="E5" i="7"/>
  <c r="G5" i="7" s="1"/>
  <c r="F4" i="7"/>
  <c r="H4" i="7" s="1"/>
  <c r="F6" i="7"/>
  <c r="H6" i="7" s="1"/>
  <c r="E6" i="7"/>
  <c r="G6" i="7" s="1"/>
  <c r="I6" i="7" s="1"/>
  <c r="B7" i="8"/>
  <c r="E7" i="8" s="1"/>
  <c r="B6" i="8"/>
  <c r="E6" i="8" s="1"/>
  <c r="B4" i="8"/>
  <c r="E4" i="8" s="1"/>
  <c r="E7" i="7"/>
  <c r="G7" i="7" s="1"/>
  <c r="I7" i="7" s="1"/>
  <c r="E4" i="7"/>
  <c r="G4" i="7" s="1"/>
  <c r="F5" i="7"/>
  <c r="H5" i="7" s="1"/>
  <c r="C14" i="15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4" i="7"/>
  <c r="E5" i="8"/>
  <c r="G7" i="8"/>
  <c r="I7" i="8" s="1"/>
  <c r="G6" i="8"/>
  <c r="I6" i="8" s="1"/>
  <c r="G5" i="8"/>
  <c r="I5" i="8" s="1"/>
  <c r="I5" i="7" l="1"/>
  <c r="G4" i="8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<sst xmlns="http://schemas.openxmlformats.org/spreadsheetml/2006/main" count="6522" uniqueCount="323">
  <si>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</si>
  <si>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</si>
  <si>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</si>
  <si>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</si>
  <si>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</si>
  <si>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</si>
  <si>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</si>
  <si>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</si>
  <si>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</si>
  <si>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</si>
  <si>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</si>
  <si>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</si>
  <si>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</si>
  <si>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</si>
  <si>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</si>
  <si>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</si>
  <si>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</si>
  <si>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</si>
  <si>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</si>
  <si>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</si>
  <si>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</si>
  <si>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</si>
  <si>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</si>
  <si>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</si>
  <si>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</si>
  <si>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</si>
  <si>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</si>
  <si>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</si>
  <si>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</si>
  <si>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</si>
  <si>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</si>
  <si>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</si>
  <si>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</si>
  <si>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</si>
  <si>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</si>
  <si>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</si>
  <si>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</si>
  <si>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</si>
  <si>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</si>
  <si>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</si>
  <si>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</si>
  <si>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</si>
  <si>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</si>
  <si>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</si>
  <si>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</si>
  <si>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</si>
  <si>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</si>
  <si>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</si>
  <si>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</si>
  <si>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</si>
  <si>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</si>
  <si>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</si>
  <si>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</si>
  <si>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</si>
  <si>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</si>
  <si>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</si>
  <si>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</si>
  <si>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</si>
  <si>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</si>
  <si>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</si>
  <si>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</si>
  <si>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</si>
  <si>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</si>
  <si>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</si>
  <si>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</si>
  <si>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</si>
  <si>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</si>
  <si>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</si>
  <si>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</si>
  <si>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</si>
  <si>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</si>
  <si>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</si>
  <si>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</si>
  <si>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</si>
  <si>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</si>
  <si>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</si>
  <si>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</si>
  <si>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</si>
  <si>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</si>
  <si>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</si>
  <si>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</si>
  <si>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</si>
  <si>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</si>
  <si>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</si>
  <si>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</si>
  <si>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</si>
  <si>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</si>
  <si>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</si>
  <si>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</si>
  <si>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</si>
  <si>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</si>
  <si>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</si>
  <si>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</si>
  <si>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</si>
  <si>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</si>
  <si>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</si>
  <si>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</si>
  <si>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</si>
  <si>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</si>
  <si>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</si>
  <si>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</si>
  <si>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</si>
  <si>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</si>
  <si>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</si>
  <si>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</si>
  <si>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</si>
  <si>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</si>
  <si>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</si>
  <si>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</si>
  <si>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</si>
  <si>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</si>
  <si>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</si>
  <si>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</si>
  <si>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</si>
  <si>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</si>
  <si>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</si>
  <si>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</si>
  <si>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</si>
  <si>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</si>
  <si>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</si>
  <si>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</si>
  <si>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</si>
  <si>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</si>
  <si>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</si>
  <si>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</si>
  <si>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</si>
  <si>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</si>
  <si>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</si>
  <si>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</si>
  <si>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</si>
  <si>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</si>
  <si>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</si>
  <si>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</si>
  <si>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</si>
  <si>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</si>
  <si>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</si>
  <si>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</si>
  <si>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</si>
  <si>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</si>
  <si>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</si>
  <si>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</si>
  <si>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</si>
  <si>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</si>
  <si>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</si>
  <si>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</si>
  <si>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</si>
  <si>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</si>
  <si>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</si>
  <si>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</si>
  <si>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</si>
  <si>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</si>
  <si>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</si>
  <si>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</si>
  <si>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</si>
  <si>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</si>
  <si>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</si>
  <si>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</si>
  <si>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</si>
  <si>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</si>
  <si>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</si>
  <si>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</si>
  <si>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</si>
  <si>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</si>
  <si>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</si>
  <si>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</si>
  <si>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</si>
  <si>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</si>
  <si>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</si>
  <si>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</si>
  <si>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</si>
  <si>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</si>
  <si>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</si>
  <si>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</si>
  <si>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</si>
  <si>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</si>
  <si>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</si>
  <si>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</si>
  <si>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</si>
  <si>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</si>
  <si>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</si>
  <si>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</si>
  <si>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</si>
  <si>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</si>
  <si>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</si>
  <si>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</si>
  <si>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</si>
  <si>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</si>
  <si>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</si>
  <si>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</si>
  <si>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</si>
  <si>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</si>
  <si>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</si>
  <si>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</si>
  <si>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</si>
  <si>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</si>
  <si>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</si>
  <si>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</si>
  <si>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</si>
  <si>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</si>
  <si>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</si>
  <si>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</si>
  <si>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</si>
  <si>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</si>
  <si>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</si>
  <si>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</si>
  <si>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</si>
  <si>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</si>
  <si>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</si>
  <si>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</si>
  <si>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</si>
  <si>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</si>
  <si>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</si>
  <si>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</si>
  <si>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</si>
  <si>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</si>
  <si>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</si>
  <si>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</si>
  <si>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</si>
  <si>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</si>
  <si>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</si>
  <si>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</si>
  <si>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</si>
  <si>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</si>
  <si>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</si>
  <si>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</si>
  <si>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</si>
  <si>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</si>
  <si>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</si>
  <si>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</si>
  <si>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</si>
  <si>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</si>
  <si>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</si>
  <si>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</si>
  <si>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</si>
  <si>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</si>
  <si>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</si>
  <si>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</si>
  <si>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</si>
  <si>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</si>
  <si>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</si>
  <si>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</si>
  <si>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</si>
  <si>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</si>
  <si>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</si>
  <si>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</si>
  <si>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</si>
  <si>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</si>
  <si>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</si>
  <si>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</si>
  <si>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</si>
  <si>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</si>
  <si>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</si>
  <si>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</si>
  <si>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</si>
  <si>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</si>
  <si>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</si>
  <si>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</si>
  <si>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</si>
  <si>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</si>
  <si>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</si>
  <si>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</si>
  <si>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</si>
  <si>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</si>
  <si>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</si>
  <si>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</si>
  <si>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</si>
  <si>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</si>
  <si>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</si>
  <si>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</si>
  <si>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</si>
  <si>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</si>
  <si>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</si>
  <si>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</si>
  <si>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</si>
  <si>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</si>
  <si>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</si>
  <si>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</si>
  <si>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</si>
  <si>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</si>
  <si>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</si>
  <si>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</si>
  <si>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</si>
  <si>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</si>
  <si>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</si>
  <si>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</si>
  <si>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</si>
  <si>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</si>
  <si>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</si>
  <si>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</si>
  <si>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</si>
  <si>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</si>
  <si>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</si>
  <si>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</si>
  <si>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</si>
  <si>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</si>
  <si>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</si>
  <si>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</si>
  <si>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</si>
  <si>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</si>
  <si>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</si>
  <si>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</si>
  <si>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</si>
  <si>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</si>
  <si>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</si>
  <si>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</si>
  <si>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</si>
  <si>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</si>
  <si>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</si>
  <si>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</si>
  <si>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</si>
  <si>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</si>
  <si>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</si>
  <si>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</si>
  <si>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</si>
  <si>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</si>
  <si>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</si>
  <si>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</si>
  <si>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</si>
  <si>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</si>
  <si>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</si>
  <si>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</si>
  <si>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</si>
  <si>
    <t>table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</si>
</sst>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D1"/>
  <sheetViews>
    <sheetView workbookViewId="0">
      <selection activeCell="S6" sqref="S6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4" x14ac:dyDescent="0.25">
      <c r="A1" s="1" t="s">
        <v>301</v>
      </c>
      <c r="B1" s="1" t="s">
        <v>304</v>
      </c>
      <c r="C1" s="1" t="s">
        <v>302</v>
      </c>
      <c r="D1" s="1" t="s">
        <v>303</v>
      </c>
    </row>
  </sheetData>
  <dataValidations count="2">
    <dataValidation type="list" allowBlank="1" showInputMessage="1" showErrorMessage="1" sqref="A3:A30" xr:uid="{2ABE5958-B6EC-449D-8308-ADA4F27691CF}">
      <formula1>$T$2:$T$3</formula1>
    </dataValidation>
    <dataValidation type="list" allowBlank="1" showInputMessage="1" showErrorMessage="1" sqref="B3:B25" xr:uid="{B913305A-1EC7-476B-93FF-5E81388C9685}">
      <formula1>$U$2:$U$4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066206-C35E-4C3D-B2D4-612247166DEC}">
          <x14:formula1>
            <xm:f>'List Population Values'!$D$2:$D$4</xm:f>
          </x14:formula1>
          <xm:sqref>B2</xm:sqref>
        </x14:dataValidation>
        <x14:dataValidation type="list" allowBlank="1" showInputMessage="1" showErrorMessage="1" xr:uid="{7BFB5BE9-FACE-483C-ADDB-3E03606FC270}">
          <x14:formula1>
            <xm:f>'List Population Values'!$C$2:$C$3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workbookViewId="0">
      <selection activeCell="D34" sqref="D34"/>
    </sheetView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161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2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2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2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2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2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2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2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2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2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2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2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2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2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2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2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2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2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2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2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2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2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2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2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2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2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2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2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2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2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2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2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2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2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2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2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2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2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2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2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2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2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2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2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2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2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2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2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2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2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2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2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2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2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2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2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2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2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2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2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2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2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2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2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2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2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2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2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2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2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2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2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2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2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2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2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2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2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2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2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2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2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2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2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2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2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2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2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2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2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2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2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2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2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2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2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2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2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2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2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2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2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2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2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2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2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2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2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2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2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2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2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2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2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2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2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2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2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2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2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2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2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2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2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2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2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2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2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2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2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2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2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2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2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2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2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2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2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2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2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2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2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2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2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2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2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2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2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2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2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2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2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2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2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2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2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2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2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2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2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2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2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2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2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2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2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2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2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2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2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2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2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2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2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2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2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2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2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2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2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2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2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2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2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2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2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2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2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2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2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2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2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2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2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2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2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2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2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2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2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2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2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2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2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2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2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2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2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2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2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2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2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2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2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2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2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2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2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2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2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2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2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2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2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2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2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2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2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2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2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2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2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2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2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2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2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2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2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2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2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2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2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2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2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2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2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2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2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2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2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2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2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2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2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2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2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2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2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2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2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2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2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2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2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2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2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2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2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2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2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2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2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2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2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2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2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2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2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2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2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2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2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2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2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2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2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2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2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2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2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2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2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2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2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2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2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2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2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2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2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2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2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2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2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2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2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2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2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2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2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2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2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2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2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2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2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2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2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2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2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2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2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2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2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2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2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2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2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2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2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2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2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2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2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2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2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2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2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2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2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2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2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2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2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2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2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2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2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2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2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2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2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2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2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2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2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2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2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2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2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2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2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2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2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2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2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2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2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2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2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2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2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2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2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2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2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2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2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2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2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2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2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2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2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2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2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2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2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2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2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2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2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2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2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2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2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2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2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2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2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2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2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2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2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2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2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2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2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2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2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2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2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2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2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2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2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2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2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2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2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2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2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2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2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2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2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2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2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2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2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2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2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2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2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2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2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2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2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2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2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2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2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2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2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2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2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2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2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2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2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2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2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2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2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2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2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2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2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2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2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2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2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2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2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2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2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2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2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2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2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2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2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2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2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2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2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2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2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2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2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2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2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2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2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2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2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2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2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2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2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2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2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2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2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2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2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2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2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2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2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2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2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2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2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2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2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2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2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2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2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2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2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2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2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2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2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2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2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2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2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2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2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2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2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2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2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2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2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2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2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2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2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2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2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2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2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2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2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2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2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2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2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2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2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2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2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2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2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2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2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2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2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2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2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2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2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2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2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2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2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2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2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2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2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2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2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2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2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2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2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2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2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2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2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2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2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2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2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2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2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2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2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2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2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2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2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2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2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2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2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2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2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2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2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2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2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2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2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2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2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2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2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2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2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2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2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2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2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2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2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2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2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2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2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2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2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2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2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2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2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2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2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2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2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2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2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2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2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2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2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2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2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2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2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2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2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2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2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2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2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2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2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2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2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2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2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2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2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2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2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2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2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2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2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2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2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2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2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2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2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2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2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2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2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2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2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2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2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2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2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2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2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2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2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2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2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2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2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2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2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2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2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2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2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2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2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2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2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2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2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2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2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2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2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2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2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2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2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2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2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2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2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2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2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2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2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2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2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2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2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2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2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2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2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2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2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2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2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2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2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2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2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2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2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2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2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2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2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2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2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2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2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2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2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2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2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2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2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2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2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2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2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2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2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2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2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2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2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2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2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2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2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2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2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2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2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2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2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2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2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2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2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2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2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2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2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2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2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2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2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2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2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2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2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2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2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2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2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2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2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2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2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2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2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2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2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2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2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2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2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2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2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2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2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2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2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2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2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2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2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2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2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2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2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2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2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2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2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2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2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2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2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2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2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2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2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2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2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2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2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2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2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2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2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2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2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2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2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2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2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2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2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2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2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2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2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2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2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2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2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2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2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2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2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2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2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2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2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2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2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2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2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2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2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2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2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2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2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2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2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2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2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2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2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2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2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2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2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2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2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2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2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2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2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2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2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2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2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2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2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2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2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2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2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2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2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2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2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2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2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2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2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2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2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2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2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2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2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2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2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2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2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2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2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2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2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2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2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2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2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2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2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2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2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2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2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2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2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2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2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2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2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2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2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2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2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2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2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2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2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2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2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2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2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2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2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2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2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2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2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2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2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2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2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2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2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2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2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2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2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2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2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2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2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2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2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2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2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2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2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2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2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2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2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2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2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2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2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2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2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2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2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2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2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2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2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2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2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2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2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2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2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2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2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2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2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2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2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2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2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2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2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2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2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2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2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2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G1" sqref="G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161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300</v>
      </c>
      <c r="B1" t="s">
        <v>297</v>
      </c>
      <c r="C1" t="s">
        <v>298</v>
      </c>
      <c r="D1" t="s">
        <v>299</v>
      </c>
      <c r="E1" t="str">
        <f>B1&amp;A1&amp;C1&amp;A1&amp;D1</f>
        <v>MAX(LEN(DECLARANT)) AS MaxLengthOf_DECLARANT,</v>
      </c>
      <c r="K1" t="s">
        <v>8</v>
      </c>
    </row>
    <row r="2" spans="1:11" x14ac:dyDescent="0.25">
      <c r="A2" t="s">
        <v>45</v>
      </c>
      <c r="B2" t="s">
        <v>297</v>
      </c>
      <c r="C2" t="s">
        <v>298</v>
      </c>
      <c r="D2" t="s">
        <v>299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46</v>
      </c>
      <c r="B3" t="s">
        <v>297</v>
      </c>
      <c r="C3" t="s">
        <v>298</v>
      </c>
      <c r="D3" t="s">
        <v>299</v>
      </c>
      <c r="E3" t="str">
        <f t="shared" si="0"/>
        <v>MAX(LEN(OrganizationName)) AS MaxLengthOf_OrganizationName,</v>
      </c>
    </row>
    <row r="4" spans="1:11" x14ac:dyDescent="0.25">
      <c r="A4" t="s">
        <v>47</v>
      </c>
      <c r="B4" t="s">
        <v>297</v>
      </c>
      <c r="C4" t="s">
        <v>298</v>
      </c>
      <c r="D4" t="s">
        <v>299</v>
      </c>
      <c r="E4" t="str">
        <f t="shared" si="0"/>
        <v>MAX(LEN(DepartmentGroupKey)) AS MaxLengthOf_DepartmentGroupKey,</v>
      </c>
    </row>
    <row r="5" spans="1:11" x14ac:dyDescent="0.25">
      <c r="A5" t="s">
        <v>48</v>
      </c>
      <c r="B5" t="s">
        <v>297</v>
      </c>
      <c r="C5" t="s">
        <v>298</v>
      </c>
      <c r="D5" t="s">
        <v>299</v>
      </c>
      <c r="E5" t="str">
        <f t="shared" si="0"/>
        <v>MAX(LEN(DepartmentGroupName)) AS MaxLengthOf_DepartmentGroupName,</v>
      </c>
    </row>
    <row r="6" spans="1:11" x14ac:dyDescent="0.25">
      <c r="A6" t="s">
        <v>49</v>
      </c>
      <c r="B6" t="s">
        <v>297</v>
      </c>
      <c r="C6" t="s">
        <v>298</v>
      </c>
      <c r="D6" t="s">
        <v>299</v>
      </c>
      <c r="E6" t="str">
        <f t="shared" si="0"/>
        <v>MAX(LEN(ScenarioKey)) AS MaxLengthOf_ScenarioKey,</v>
      </c>
    </row>
    <row r="7" spans="1:11" x14ac:dyDescent="0.25">
      <c r="A7" t="s">
        <v>50</v>
      </c>
      <c r="B7" t="s">
        <v>297</v>
      </c>
      <c r="C7" t="s">
        <v>298</v>
      </c>
      <c r="D7" t="s">
        <v>299</v>
      </c>
      <c r="E7" t="str">
        <f t="shared" si="0"/>
        <v>MAX(LEN(ScenarioName)) AS MaxLengthOf_ScenarioName,</v>
      </c>
    </row>
    <row r="8" spans="1:11" x14ac:dyDescent="0.25">
      <c r="A8" t="s">
        <v>51</v>
      </c>
      <c r="B8" t="s">
        <v>297</v>
      </c>
      <c r="C8" t="s">
        <v>298</v>
      </c>
      <c r="D8" t="s">
        <v>299</v>
      </c>
      <c r="E8" t="str">
        <f t="shared" si="0"/>
        <v>MAX(LEN(AccountDescription)) AS MaxLengthOf_AccountDescription,</v>
      </c>
    </row>
    <row r="9" spans="1:11" x14ac:dyDescent="0.25">
      <c r="A9" t="s">
        <v>52</v>
      </c>
      <c r="B9" t="s">
        <v>297</v>
      </c>
      <c r="C9" t="s">
        <v>298</v>
      </c>
      <c r="D9" t="s">
        <v>299</v>
      </c>
      <c r="E9" t="str">
        <f t="shared" si="0"/>
        <v>MAX(LEN(AccountType)) AS MaxLengthOf_AccountType,</v>
      </c>
    </row>
    <row r="10" spans="1:11" x14ac:dyDescent="0.25">
      <c r="A10" t="s">
        <v>53</v>
      </c>
      <c r="B10" t="s">
        <v>297</v>
      </c>
      <c r="C10" t="s">
        <v>298</v>
      </c>
      <c r="D10" t="s">
        <v>299</v>
      </c>
      <c r="E10" t="str">
        <f t="shared" si="0"/>
        <v>MAX(LEN(ValueType)) AS MaxLengthOf_ValueType,</v>
      </c>
    </row>
    <row r="11" spans="1:11" x14ac:dyDescent="0.25">
      <c r="A11" t="s">
        <v>54</v>
      </c>
      <c r="B11" t="s">
        <v>297</v>
      </c>
      <c r="C11" t="s">
        <v>298</v>
      </c>
      <c r="D11" t="s">
        <v>299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>
      <selection activeCell="F33" sqref="F33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161</v>
      </c>
      <c r="B2" t="s">
        <v>144</v>
      </c>
      <c r="C2" t="s">
        <v>148</v>
      </c>
      <c r="D2" t="s">
        <v>163</v>
      </c>
      <c r="E2" t="s">
        <v>150</v>
      </c>
    </row>
    <row r="3" spans="1:6" x14ac:dyDescent="0.25">
      <c r="A3" t="s">
        <v>45</v>
      </c>
      <c r="B3" t="s">
        <v>145</v>
      </c>
      <c r="C3" t="s">
        <v>7</v>
      </c>
      <c r="E3" t="s">
        <v>151</v>
      </c>
      <c r="F3" t="s">
        <v>156</v>
      </c>
    </row>
    <row r="4" spans="1:6" x14ac:dyDescent="0.25">
      <c r="A4" t="s">
        <v>46</v>
      </c>
      <c r="B4" t="s">
        <v>146</v>
      </c>
      <c r="C4" t="s">
        <v>7</v>
      </c>
      <c r="E4" t="s">
        <v>151</v>
      </c>
    </row>
    <row r="5" spans="1:6" x14ac:dyDescent="0.25">
      <c r="A5" t="s">
        <v>47</v>
      </c>
      <c r="B5" t="s">
        <v>145</v>
      </c>
      <c r="C5" t="s">
        <v>7</v>
      </c>
      <c r="E5" t="s">
        <v>152</v>
      </c>
      <c r="F5" t="s">
        <v>157</v>
      </c>
    </row>
    <row r="6" spans="1:6" x14ac:dyDescent="0.25">
      <c r="A6" t="s">
        <v>48</v>
      </c>
      <c r="B6" t="s">
        <v>146</v>
      </c>
      <c r="C6" t="s">
        <v>7</v>
      </c>
      <c r="E6" t="s">
        <v>152</v>
      </c>
    </row>
    <row r="7" spans="1:6" x14ac:dyDescent="0.25">
      <c r="A7" t="s">
        <v>49</v>
      </c>
      <c r="B7" t="s">
        <v>145</v>
      </c>
      <c r="C7" t="s">
        <v>7</v>
      </c>
      <c r="D7" t="s">
        <v>149</v>
      </c>
      <c r="E7" t="s">
        <v>155</v>
      </c>
    </row>
    <row r="8" spans="1:6" x14ac:dyDescent="0.25">
      <c r="A8" t="s">
        <v>50</v>
      </c>
      <c r="B8" t="s">
        <v>37</v>
      </c>
      <c r="C8" t="s">
        <v>7</v>
      </c>
      <c r="D8" t="s">
        <v>149</v>
      </c>
      <c r="E8" t="s">
        <v>155</v>
      </c>
    </row>
    <row r="9" spans="1:6" x14ac:dyDescent="0.25">
      <c r="A9" t="s">
        <v>51</v>
      </c>
      <c r="B9" t="s">
        <v>146</v>
      </c>
      <c r="C9" t="s">
        <v>7</v>
      </c>
      <c r="D9" t="s">
        <v>149</v>
      </c>
      <c r="E9" t="s">
        <v>154</v>
      </c>
    </row>
    <row r="10" spans="1:6" x14ac:dyDescent="0.25">
      <c r="A10" t="s">
        <v>52</v>
      </c>
      <c r="B10" t="s">
        <v>146</v>
      </c>
      <c r="C10" t="s">
        <v>7</v>
      </c>
      <c r="D10" t="s">
        <v>149</v>
      </c>
      <c r="E10" t="s">
        <v>154</v>
      </c>
    </row>
    <row r="11" spans="1:6" x14ac:dyDescent="0.25">
      <c r="A11" t="s">
        <v>53</v>
      </c>
      <c r="B11" t="s">
        <v>146</v>
      </c>
      <c r="C11" t="s">
        <v>7</v>
      </c>
      <c r="D11" t="s">
        <v>149</v>
      </c>
      <c r="E11" t="s">
        <v>154</v>
      </c>
    </row>
    <row r="12" spans="1:6" x14ac:dyDescent="0.25">
      <c r="A12" t="s">
        <v>54</v>
      </c>
      <c r="B12" t="s">
        <v>147</v>
      </c>
      <c r="C12" t="s">
        <v>148</v>
      </c>
      <c r="E12" t="s">
        <v>150</v>
      </c>
    </row>
  </sheetData>
  <autoFilter ref="A1:F12" xr:uid="{00000000-0009-0000-0000-000001000000}"/>
  <dataValidations count="2">
    <dataValidation type="list" allowBlank="1" showInputMessage="1" showErrorMessage="1" sqref="C1:C1048576" xr:uid="{00000000-0002-0000-0100-000000000000}">
      <formula1>"Dimension, Fact"</formula1>
    </dataValidation>
    <dataValidation type="list" allowBlank="1" showInputMessage="1" showErrorMessage="1" sqref="D1:D1048576" xr:uid="{00000000-0002-0000-0100-000001000000}">
      <formula1>"Junk, Role Play, Junk, Degenerate"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D33" sqref="D3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161</v>
      </c>
      <c r="B2" t="s">
        <v>162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C20" sqref="C20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160</v>
      </c>
      <c r="B2" t="s">
        <v>161</v>
      </c>
      <c r="C2" t="s">
        <v>150</v>
      </c>
      <c r="D2" t="s">
        <v>42</v>
      </c>
    </row>
    <row r="3" spans="1:5" x14ac:dyDescent="0.25">
      <c r="A3" t="s">
        <v>160</v>
      </c>
      <c r="B3" t="s">
        <v>45</v>
      </c>
      <c r="C3" t="s">
        <v>151</v>
      </c>
      <c r="D3" t="s">
        <v>6</v>
      </c>
    </row>
    <row r="4" spans="1:5" x14ac:dyDescent="0.25">
      <c r="A4" t="s">
        <v>160</v>
      </c>
      <c r="B4" t="s">
        <v>46</v>
      </c>
      <c r="C4" t="s">
        <v>151</v>
      </c>
      <c r="D4" t="s">
        <v>46</v>
      </c>
    </row>
    <row r="5" spans="1:5" x14ac:dyDescent="0.25">
      <c r="A5" t="s">
        <v>160</v>
      </c>
      <c r="B5" t="s">
        <v>47</v>
      </c>
      <c r="C5" t="s">
        <v>152</v>
      </c>
      <c r="D5" t="s">
        <v>6</v>
      </c>
    </row>
    <row r="6" spans="1:5" x14ac:dyDescent="0.25">
      <c r="A6" t="s">
        <v>160</v>
      </c>
      <c r="B6" t="s">
        <v>48</v>
      </c>
      <c r="C6" t="s">
        <v>152</v>
      </c>
      <c r="D6" t="s">
        <v>48</v>
      </c>
    </row>
    <row r="7" spans="1:5" x14ac:dyDescent="0.25">
      <c r="A7" t="s">
        <v>160</v>
      </c>
      <c r="B7" t="s">
        <v>49</v>
      </c>
      <c r="C7" t="s">
        <v>153</v>
      </c>
      <c r="D7" t="s">
        <v>6</v>
      </c>
    </row>
    <row r="8" spans="1:5" x14ac:dyDescent="0.25">
      <c r="A8" t="s">
        <v>160</v>
      </c>
      <c r="B8" t="s">
        <v>50</v>
      </c>
      <c r="C8" t="s">
        <v>153</v>
      </c>
      <c r="D8" t="s">
        <v>50</v>
      </c>
    </row>
    <row r="9" spans="1:5" x14ac:dyDescent="0.25">
      <c r="A9" t="s">
        <v>160</v>
      </c>
      <c r="B9" t="s">
        <v>51</v>
      </c>
      <c r="C9" t="s">
        <v>154</v>
      </c>
      <c r="D9" t="s">
        <v>51</v>
      </c>
    </row>
    <row r="10" spans="1:5" x14ac:dyDescent="0.25">
      <c r="A10" t="s">
        <v>160</v>
      </c>
      <c r="B10" t="s">
        <v>52</v>
      </c>
      <c r="C10" t="s">
        <v>154</v>
      </c>
      <c r="D10" t="s">
        <v>52</v>
      </c>
    </row>
    <row r="11" spans="1:5" x14ac:dyDescent="0.25">
      <c r="A11" t="s">
        <v>160</v>
      </c>
      <c r="B11" t="s">
        <v>53</v>
      </c>
      <c r="C11" t="s">
        <v>154</v>
      </c>
      <c r="D11" t="s">
        <v>53</v>
      </c>
    </row>
    <row r="12" spans="1:5" x14ac:dyDescent="0.25">
      <c r="A12" t="s">
        <v>160</v>
      </c>
      <c r="B12" t="s">
        <v>54</v>
      </c>
      <c r="C12" t="s">
        <v>150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C6" sqref="C6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158</v>
      </c>
      <c r="B1" s="1"/>
      <c r="C1" s="1"/>
      <c r="D1" s="1"/>
      <c r="E1" s="1"/>
    </row>
    <row r="2" spans="1:7" x14ac:dyDescent="0.25">
      <c r="A2" s="1" t="s">
        <v>16</v>
      </c>
      <c r="B2" s="1" t="s">
        <v>167</v>
      </c>
      <c r="C2" s="1" t="s">
        <v>164</v>
      </c>
      <c r="D2" s="1" t="s">
        <v>168</v>
      </c>
      <c r="E2" s="1" t="s">
        <v>159</v>
      </c>
      <c r="F2" s="1" t="s">
        <v>170</v>
      </c>
      <c r="G2" s="1" t="s">
        <v>171</v>
      </c>
    </row>
    <row r="3" spans="1:7" x14ac:dyDescent="0.25">
      <c r="A3" t="s">
        <v>151</v>
      </c>
      <c r="B3" t="str">
        <f>SUBSTITUTE(A3,"Dim","")&amp;"CK"</f>
        <v>OrganizationCK</v>
      </c>
      <c r="C3" t="s">
        <v>151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152</v>
      </c>
      <c r="B4" t="str">
        <f t="shared" ref="B4:B7" si="0">SUBSTITUTE(A4,"Dim","")&amp;"CK"</f>
        <v>DepartmentCK</v>
      </c>
      <c r="C4" t="s">
        <v>152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153</v>
      </c>
      <c r="B5" t="str">
        <f t="shared" si="0"/>
        <v>ScenarioCK</v>
      </c>
      <c r="C5" t="s">
        <v>153</v>
      </c>
      <c r="D5" t="str">
        <f t="shared" si="1"/>
        <v>ScenarioCK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154</v>
      </c>
      <c r="B6" t="str">
        <f t="shared" si="0"/>
        <v>AccountCK</v>
      </c>
      <c r="C6" t="s">
        <v>154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165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5" sqref="B5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169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ScenarioCK</v>
      </c>
      <c r="C5" t="s">
        <v>26</v>
      </c>
      <c r="D5" t="s">
        <v>27</v>
      </c>
      <c r="E5" t="str">
        <f t="shared" si="0"/>
        <v>ScenarioCK BIGINT NOT NULL,</v>
      </c>
      <c r="F5" t="s">
        <v>28</v>
      </c>
      <c r="G5" t="str">
        <f t="shared" si="1"/>
        <v>ScenarioCK</v>
      </c>
      <c r="H5" t="s">
        <v>29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26</v>
      </c>
      <c r="D7" t="s">
        <v>27</v>
      </c>
      <c r="E7" t="str">
        <f t="shared" si="0"/>
        <v>TransactionDateCK BIGINT NOT NULL,</v>
      </c>
      <c r="F7" t="s">
        <v>28</v>
      </c>
      <c r="G7" t="str">
        <f t="shared" si="1"/>
        <v>TransactionDateCK</v>
      </c>
      <c r="H7" t="s">
        <v>29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166</v>
      </c>
      <c r="B3" t="s">
        <v>150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166</v>
      </c>
      <c r="B4" t="s">
        <v>150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166</v>
      </c>
      <c r="B5" t="s">
        <v>150</v>
      </c>
      <c r="C5" t="str">
        <f>'Dimension List'!C5</f>
        <v>DimScenario</v>
      </c>
      <c r="D5" t="str">
        <f>'Dimension List'!A5</f>
        <v>DimScenario</v>
      </c>
      <c r="E5" t="str">
        <f>VLOOKUP(C5,'Dimension List'!C:D,2,FALSE)</f>
        <v>ScenarioCK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[FK_FactRevenue_DimScenario] FOREIGN KEY([ScenarioCK])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[FK_FactRevenue_DimScenario] FOREIGN KEY([ScenarioCK]) REFERENCES [dbo].[DimScenario] ([ScenarioCK])</v>
      </c>
    </row>
    <row r="6" spans="1:9" x14ac:dyDescent="0.25">
      <c r="A6" t="s">
        <v>166</v>
      </c>
      <c r="B6" t="s">
        <v>150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166</v>
      </c>
      <c r="B7" t="s">
        <v>150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173</v>
      </c>
    </row>
    <row r="2" spans="1:9" x14ac:dyDescent="0.25">
      <c r="A2" s="1" t="s">
        <v>172</v>
      </c>
      <c r="B2" s="1" t="s">
        <v>159</v>
      </c>
      <c r="C2" s="1" t="s">
        <v>170</v>
      </c>
      <c r="D2" s="1" t="s">
        <v>171</v>
      </c>
      <c r="E2" s="1" t="s">
        <v>174</v>
      </c>
      <c r="F2" s="1" t="s">
        <v>175</v>
      </c>
      <c r="G2" s="1" t="s">
        <v>176</v>
      </c>
      <c r="H2" s="1" t="s">
        <v>177</v>
      </c>
      <c r="I2" s="1" t="s">
        <v>178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181</v>
      </c>
      <c r="B1" s="1" t="s">
        <v>210</v>
      </c>
    </row>
    <row r="2" spans="1:3" x14ac:dyDescent="0.25">
      <c r="A2" s="1" t="s">
        <v>179</v>
      </c>
      <c r="B2" s="1" t="s">
        <v>180</v>
      </c>
      <c r="C2" s="1" t="s">
        <v>211</v>
      </c>
    </row>
    <row r="3" spans="1:3" x14ac:dyDescent="0.25">
      <c r="A3" t="s">
        <v>182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183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184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185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186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187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188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189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190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191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192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193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194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195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196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197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198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199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200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201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202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203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204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205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206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207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208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209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181</v>
      </c>
      <c r="B1" s="1" t="s">
        <v>210</v>
      </c>
      <c r="C1" s="1"/>
      <c r="F1" s="3" t="s">
        <v>284</v>
      </c>
      <c r="G1" s="3"/>
      <c r="H1" s="3"/>
      <c r="I1" s="3"/>
      <c r="J1" s="3"/>
    </row>
    <row r="2" spans="1:10" x14ac:dyDescent="0.25">
      <c r="A2" s="1" t="s">
        <v>179</v>
      </c>
      <c r="B2" s="1" t="s">
        <v>180</v>
      </c>
      <c r="C2" s="1" t="s">
        <v>230</v>
      </c>
      <c r="D2" s="1" t="s">
        <v>211</v>
      </c>
      <c r="F2" s="1" t="s">
        <v>285</v>
      </c>
      <c r="G2" s="1" t="s">
        <v>286</v>
      </c>
    </row>
    <row r="3" spans="1:10" x14ac:dyDescent="0.25">
      <c r="A3" t="s">
        <v>44</v>
      </c>
      <c r="B3" t="str">
        <f>AddSpaces(A3)</f>
        <v>Date Key</v>
      </c>
      <c r="C3" t="s">
        <v>229</v>
      </c>
      <c r="D3" t="str">
        <f>A3&amp;" AS ["&amp;C3&amp;" "&amp;B3&amp;"],"</f>
        <v>DateKey AS [Transaction Date Date Key],</v>
      </c>
      <c r="F3" t="s">
        <v>287</v>
      </c>
      <c r="G3" t="s">
        <v>288</v>
      </c>
    </row>
    <row r="4" spans="1:10" x14ac:dyDescent="0.25">
      <c r="A4" t="s">
        <v>161</v>
      </c>
      <c r="B4" t="str">
        <f t="shared" ref="B4:B21" si="0">AddSpaces(A4)</f>
        <v>Full Date Alternate Key</v>
      </c>
      <c r="C4" t="s">
        <v>229</v>
      </c>
      <c r="D4" t="str">
        <f t="shared" ref="D4:D21" si="1">A4&amp;" AS ["&amp;C4&amp;" "&amp;B4&amp;"],"</f>
        <v>FullDateAlternateKey AS [Transaction Date Full Date Alternate Key],</v>
      </c>
      <c r="F4" t="s">
        <v>289</v>
      </c>
      <c r="G4" t="s">
        <v>290</v>
      </c>
    </row>
    <row r="5" spans="1:10" x14ac:dyDescent="0.25">
      <c r="A5" t="s">
        <v>212</v>
      </c>
      <c r="B5" t="str">
        <f t="shared" si="0"/>
        <v>Day Number Of Week</v>
      </c>
      <c r="C5" t="s">
        <v>229</v>
      </c>
      <c r="D5" t="str">
        <f t="shared" si="1"/>
        <v>DayNumberOfWeek AS [Transaction Date Day Number Of Week],</v>
      </c>
      <c r="F5" t="s">
        <v>295</v>
      </c>
      <c r="G5" t="s">
        <v>291</v>
      </c>
    </row>
    <row r="6" spans="1:10" x14ac:dyDescent="0.25">
      <c r="A6" t="s">
        <v>213</v>
      </c>
      <c r="B6" t="str">
        <f t="shared" si="0"/>
        <v>English Day Name Of Week</v>
      </c>
      <c r="C6" t="s">
        <v>229</v>
      </c>
      <c r="D6" t="str">
        <f t="shared" si="1"/>
        <v>EnglishDayNameOfWeek AS [Transaction Date English Day Name Of Week],</v>
      </c>
      <c r="F6" t="s">
        <v>294</v>
      </c>
      <c r="G6" t="s">
        <v>292</v>
      </c>
    </row>
    <row r="7" spans="1:10" x14ac:dyDescent="0.25">
      <c r="A7" t="s">
        <v>214</v>
      </c>
      <c r="B7" t="str">
        <f t="shared" si="0"/>
        <v>Spanish Day Name Of Week</v>
      </c>
      <c r="C7" t="s">
        <v>229</v>
      </c>
      <c r="D7" t="str">
        <f t="shared" si="1"/>
        <v>SpanishDayNameOfWeek AS [Transaction Date Spanish Day Name Of Week],</v>
      </c>
      <c r="F7" t="s">
        <v>293</v>
      </c>
      <c r="G7" t="s">
        <v>296</v>
      </c>
    </row>
    <row r="8" spans="1:10" x14ac:dyDescent="0.25">
      <c r="A8" t="s">
        <v>215</v>
      </c>
      <c r="B8" t="str">
        <f t="shared" si="0"/>
        <v>French Day Name Of Week</v>
      </c>
      <c r="C8" t="s">
        <v>229</v>
      </c>
      <c r="D8" t="str">
        <f t="shared" si="1"/>
        <v>FrenchDayNameOfWeek AS [Transaction Date French Day Name Of Week],</v>
      </c>
    </row>
    <row r="9" spans="1:10" x14ac:dyDescent="0.25">
      <c r="A9" t="s">
        <v>216</v>
      </c>
      <c r="B9" t="str">
        <f t="shared" si="0"/>
        <v>Day Number Of Month</v>
      </c>
      <c r="C9" t="s">
        <v>229</v>
      </c>
      <c r="D9" t="str">
        <f t="shared" si="1"/>
        <v>DayNumberOfMonth AS [Transaction Date Day Number Of Month],</v>
      </c>
    </row>
    <row r="10" spans="1:10" x14ac:dyDescent="0.25">
      <c r="A10" t="s">
        <v>217</v>
      </c>
      <c r="B10" t="str">
        <f t="shared" si="0"/>
        <v>Day Number Of Year</v>
      </c>
      <c r="C10" t="s">
        <v>229</v>
      </c>
      <c r="D10" t="str">
        <f t="shared" si="1"/>
        <v>DayNumberOfYear AS [Transaction Date Day Number Of Year],</v>
      </c>
    </row>
    <row r="11" spans="1:10" x14ac:dyDescent="0.25">
      <c r="A11" t="s">
        <v>218</v>
      </c>
      <c r="B11" t="str">
        <f t="shared" si="0"/>
        <v>Week Number Of Year</v>
      </c>
      <c r="C11" t="s">
        <v>229</v>
      </c>
      <c r="D11" t="str">
        <f t="shared" si="1"/>
        <v>WeekNumberOfYear AS [Transaction Date Week Number Of Year],</v>
      </c>
    </row>
    <row r="12" spans="1:10" x14ac:dyDescent="0.25">
      <c r="A12" t="s">
        <v>219</v>
      </c>
      <c r="B12" t="str">
        <f t="shared" si="0"/>
        <v>English Month Name</v>
      </c>
      <c r="C12" t="s">
        <v>229</v>
      </c>
      <c r="D12" t="str">
        <f t="shared" si="1"/>
        <v>EnglishMonthName AS [Transaction Date English Month Name],</v>
      </c>
    </row>
    <row r="13" spans="1:10" x14ac:dyDescent="0.25">
      <c r="A13" t="s">
        <v>220</v>
      </c>
      <c r="B13" t="str">
        <f t="shared" si="0"/>
        <v>Spanish Month Name</v>
      </c>
      <c r="C13" t="s">
        <v>229</v>
      </c>
      <c r="D13" t="str">
        <f t="shared" si="1"/>
        <v>SpanishMonthName AS [Transaction Date Spanish Month Name],</v>
      </c>
    </row>
    <row r="14" spans="1:10" x14ac:dyDescent="0.25">
      <c r="A14" t="s">
        <v>221</v>
      </c>
      <c r="B14" t="str">
        <f t="shared" si="0"/>
        <v>French Month Name</v>
      </c>
      <c r="C14" t="s">
        <v>229</v>
      </c>
      <c r="D14" t="str">
        <f t="shared" si="1"/>
        <v>FrenchMonthName AS [Transaction Date French Month Name],</v>
      </c>
    </row>
    <row r="15" spans="1:10" x14ac:dyDescent="0.25">
      <c r="A15" t="s">
        <v>222</v>
      </c>
      <c r="B15" t="str">
        <f t="shared" si="0"/>
        <v>Month Number Of Year</v>
      </c>
      <c r="C15" t="s">
        <v>229</v>
      </c>
      <c r="D15" t="str">
        <f t="shared" si="1"/>
        <v>MonthNumberOfYear AS [Transaction Date Month Number Of Year],</v>
      </c>
    </row>
    <row r="16" spans="1:10" x14ac:dyDescent="0.25">
      <c r="A16" t="s">
        <v>223</v>
      </c>
      <c r="B16" t="str">
        <f t="shared" si="0"/>
        <v>Calendar Quarter</v>
      </c>
      <c r="C16" t="s">
        <v>229</v>
      </c>
      <c r="D16" t="str">
        <f t="shared" si="1"/>
        <v>CalendarQuarter AS [Transaction Date Calendar Quarter],</v>
      </c>
    </row>
    <row r="17" spans="1:4" x14ac:dyDescent="0.25">
      <c r="A17" t="s">
        <v>224</v>
      </c>
      <c r="B17" t="str">
        <f t="shared" si="0"/>
        <v>Calendar Year</v>
      </c>
      <c r="C17" t="s">
        <v>229</v>
      </c>
      <c r="D17" t="str">
        <f t="shared" si="1"/>
        <v>CalendarYear AS [Transaction Date Calendar Year],</v>
      </c>
    </row>
    <row r="18" spans="1:4" x14ac:dyDescent="0.25">
      <c r="A18" t="s">
        <v>225</v>
      </c>
      <c r="B18" t="str">
        <f t="shared" si="0"/>
        <v>Calendar Semester</v>
      </c>
      <c r="C18" t="s">
        <v>229</v>
      </c>
      <c r="D18" t="str">
        <f t="shared" si="1"/>
        <v>CalendarSemester AS [Transaction Date Calendar Semester],</v>
      </c>
    </row>
    <row r="19" spans="1:4" x14ac:dyDescent="0.25">
      <c r="A19" t="s">
        <v>226</v>
      </c>
      <c r="B19" t="str">
        <f t="shared" si="0"/>
        <v>Fiscal Quarter</v>
      </c>
      <c r="C19" t="s">
        <v>229</v>
      </c>
      <c r="D19" t="str">
        <f t="shared" si="1"/>
        <v>FiscalQuarter AS [Transaction Date Fiscal Quarter],</v>
      </c>
    </row>
    <row r="20" spans="1:4" x14ac:dyDescent="0.25">
      <c r="A20" t="s">
        <v>227</v>
      </c>
      <c r="B20" t="str">
        <f t="shared" si="0"/>
        <v>Fiscal Year</v>
      </c>
      <c r="C20" t="s">
        <v>229</v>
      </c>
      <c r="D20" t="str">
        <f t="shared" si="1"/>
        <v>FiscalYear AS [Transaction Date Fiscal Year],</v>
      </c>
    </row>
    <row r="21" spans="1:4" x14ac:dyDescent="0.25">
      <c r="A21" t="s">
        <v>228</v>
      </c>
      <c r="B21" t="str">
        <f t="shared" si="0"/>
        <v>Fiscal Semester</v>
      </c>
      <c r="C21" t="s">
        <v>229</v>
      </c>
      <c r="D21" t="str">
        <f t="shared" si="1"/>
        <v>FiscalSemester AS [Transaction Date Fiscal Semester],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tabSelected="1"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251</v>
      </c>
      <c r="B1" s="4"/>
      <c r="C1" s="4"/>
      <c r="E1" s="4" t="s">
        <v>252</v>
      </c>
      <c r="F1" s="4"/>
      <c r="G1" s="4"/>
      <c r="H1" s="4"/>
    </row>
    <row r="2" spans="1:8" x14ac:dyDescent="0.25">
      <c r="A2" s="1" t="s">
        <v>231</v>
      </c>
      <c r="B2" s="1" t="s">
        <v>232</v>
      </c>
      <c r="C2" s="1" t="s">
        <v>233</v>
      </c>
      <c r="E2" s="1" t="s">
        <v>231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239</v>
      </c>
      <c r="B3" t="s">
        <v>244</v>
      </c>
      <c r="C3" t="s">
        <v>234</v>
      </c>
      <c r="E3" t="s">
        <v>282</v>
      </c>
      <c r="F3" t="str">
        <f>VLOOKUP(E3,A:C,2,FALSE)</f>
        <v>c</v>
      </c>
      <c r="G3" t="s">
        <v>253</v>
      </c>
      <c r="H3" t="str">
        <f>F3&amp;"."&amp;G3&amp;","</f>
        <v>c.[Customer Key],</v>
      </c>
    </row>
    <row r="4" spans="1:8" x14ac:dyDescent="0.25">
      <c r="A4" t="s">
        <v>240</v>
      </c>
      <c r="B4" t="s">
        <v>245</v>
      </c>
      <c r="C4" t="s">
        <v>235</v>
      </c>
      <c r="E4" t="s">
        <v>282</v>
      </c>
      <c r="F4" t="str">
        <f t="shared" ref="F4:F31" si="0">VLOOKUP(E4,A:C,2,FALSE)</f>
        <v>c</v>
      </c>
      <c r="G4" t="s">
        <v>254</v>
      </c>
      <c r="H4" t="str">
        <f t="shared" ref="H4:H31" si="1">F4&amp;"."&amp;G4&amp;","</f>
        <v>c.[Geography Key],</v>
      </c>
    </row>
    <row r="5" spans="1:8" x14ac:dyDescent="0.25">
      <c r="A5" t="s">
        <v>241</v>
      </c>
      <c r="B5" t="s">
        <v>246</v>
      </c>
      <c r="C5" t="s">
        <v>236</v>
      </c>
      <c r="E5" t="s">
        <v>282</v>
      </c>
      <c r="F5" t="str">
        <f t="shared" si="0"/>
        <v>c</v>
      </c>
      <c r="G5" t="s">
        <v>255</v>
      </c>
      <c r="H5" t="str">
        <f t="shared" si="1"/>
        <v>c.[Customer Alternate Key],</v>
      </c>
    </row>
    <row r="6" spans="1:8" x14ac:dyDescent="0.25">
      <c r="A6" t="s">
        <v>242</v>
      </c>
      <c r="B6" t="s">
        <v>247</v>
      </c>
      <c r="C6" t="s">
        <v>237</v>
      </c>
      <c r="E6" t="s">
        <v>282</v>
      </c>
      <c r="F6" t="str">
        <f t="shared" si="0"/>
        <v>c</v>
      </c>
      <c r="G6" t="s">
        <v>256</v>
      </c>
      <c r="H6" t="str">
        <f t="shared" si="1"/>
        <v>c.[Title],</v>
      </c>
    </row>
    <row r="7" spans="1:8" x14ac:dyDescent="0.25">
      <c r="A7" t="s">
        <v>243</v>
      </c>
      <c r="B7" t="s">
        <v>248</v>
      </c>
      <c r="C7" t="s">
        <v>238</v>
      </c>
      <c r="E7" t="s">
        <v>282</v>
      </c>
      <c r="F7" t="str">
        <f t="shared" si="0"/>
        <v>c</v>
      </c>
      <c r="G7" t="s">
        <v>257</v>
      </c>
      <c r="H7" t="str">
        <f t="shared" si="1"/>
        <v>c.[First Name],</v>
      </c>
    </row>
    <row r="8" spans="1:8" x14ac:dyDescent="0.25">
      <c r="A8" t="s">
        <v>249</v>
      </c>
      <c r="B8" t="s">
        <v>250</v>
      </c>
      <c r="E8" t="s">
        <v>282</v>
      </c>
      <c r="F8" t="str">
        <f t="shared" si="0"/>
        <v>c</v>
      </c>
      <c r="G8" t="s">
        <v>258</v>
      </c>
      <c r="H8" t="str">
        <f t="shared" si="1"/>
        <v>c.[Middle Name],</v>
      </c>
    </row>
    <row r="9" spans="1:8" x14ac:dyDescent="0.25">
      <c r="A9" t="s">
        <v>282</v>
      </c>
      <c r="B9" t="s">
        <v>36</v>
      </c>
      <c r="C9" t="s">
        <v>283</v>
      </c>
      <c r="E9" t="s">
        <v>282</v>
      </c>
      <c r="F9" t="str">
        <f t="shared" si="0"/>
        <v>c</v>
      </c>
      <c r="G9" t="s">
        <v>259</v>
      </c>
      <c r="H9" t="str">
        <f t="shared" si="1"/>
        <v>c.[Last Name],</v>
      </c>
    </row>
    <row r="10" spans="1:8" x14ac:dyDescent="0.25">
      <c r="E10" t="s">
        <v>282</v>
      </c>
      <c r="F10" t="str">
        <f t="shared" si="0"/>
        <v>c</v>
      </c>
      <c r="G10" t="s">
        <v>260</v>
      </c>
      <c r="H10" t="str">
        <f t="shared" si="1"/>
        <v>c.[Name Style],</v>
      </c>
    </row>
    <row r="11" spans="1:8" x14ac:dyDescent="0.25">
      <c r="E11" t="s">
        <v>282</v>
      </c>
      <c r="F11" t="str">
        <f t="shared" si="0"/>
        <v>c</v>
      </c>
      <c r="G11" t="s">
        <v>261</v>
      </c>
      <c r="H11" t="str">
        <f t="shared" si="1"/>
        <v>c.[Birth Date],</v>
      </c>
    </row>
    <row r="12" spans="1:8" x14ac:dyDescent="0.25">
      <c r="E12" t="s">
        <v>282</v>
      </c>
      <c r="F12" t="str">
        <f t="shared" si="0"/>
        <v>c</v>
      </c>
      <c r="G12" t="s">
        <v>262</v>
      </c>
      <c r="H12" t="str">
        <f t="shared" si="1"/>
        <v>c.[Marital Status],</v>
      </c>
    </row>
    <row r="13" spans="1:8" x14ac:dyDescent="0.25">
      <c r="E13" t="s">
        <v>282</v>
      </c>
      <c r="F13" t="str">
        <f t="shared" si="0"/>
        <v>c</v>
      </c>
      <c r="G13" t="s">
        <v>263</v>
      </c>
      <c r="H13" t="str">
        <f t="shared" si="1"/>
        <v>c.[Suffix],</v>
      </c>
    </row>
    <row r="14" spans="1:8" x14ac:dyDescent="0.25">
      <c r="E14" t="s">
        <v>282</v>
      </c>
      <c r="F14" t="str">
        <f t="shared" si="0"/>
        <v>c</v>
      </c>
      <c r="G14" t="s">
        <v>264</v>
      </c>
      <c r="H14" t="str">
        <f t="shared" si="1"/>
        <v>c.[Gender],</v>
      </c>
    </row>
    <row r="15" spans="1:8" x14ac:dyDescent="0.25">
      <c r="E15" t="s">
        <v>282</v>
      </c>
      <c r="F15" t="str">
        <f t="shared" si="0"/>
        <v>c</v>
      </c>
      <c r="G15" t="s">
        <v>265</v>
      </c>
      <c r="H15" t="str">
        <f t="shared" si="1"/>
        <v>c.[Email Address],</v>
      </c>
    </row>
    <row r="16" spans="1:8" x14ac:dyDescent="0.25">
      <c r="E16" t="s">
        <v>282</v>
      </c>
      <c r="F16" t="str">
        <f t="shared" si="0"/>
        <v>c</v>
      </c>
      <c r="G16" t="s">
        <v>266</v>
      </c>
      <c r="H16" t="str">
        <f t="shared" si="1"/>
        <v>c.[Yearly Income],</v>
      </c>
    </row>
    <row r="17" spans="5:8" x14ac:dyDescent="0.25">
      <c r="E17" t="s">
        <v>282</v>
      </c>
      <c r="F17" t="str">
        <f t="shared" si="0"/>
        <v>c</v>
      </c>
      <c r="G17" t="s">
        <v>267</v>
      </c>
      <c r="H17" t="str">
        <f t="shared" si="1"/>
        <v>c.[Total Children],</v>
      </c>
    </row>
    <row r="18" spans="5:8" x14ac:dyDescent="0.25">
      <c r="E18" t="s">
        <v>282</v>
      </c>
      <c r="F18" t="str">
        <f t="shared" si="0"/>
        <v>c</v>
      </c>
      <c r="G18" t="s">
        <v>268</v>
      </c>
      <c r="H18" t="str">
        <f t="shared" si="1"/>
        <v>c.[Number Children At Home],</v>
      </c>
    </row>
    <row r="19" spans="5:8" x14ac:dyDescent="0.25">
      <c r="E19" t="s">
        <v>282</v>
      </c>
      <c r="F19" t="str">
        <f t="shared" si="0"/>
        <v>c</v>
      </c>
      <c r="G19" t="s">
        <v>269</v>
      </c>
      <c r="H19" t="str">
        <f t="shared" si="1"/>
        <v>c.[English Education],</v>
      </c>
    </row>
    <row r="20" spans="5:8" x14ac:dyDescent="0.25">
      <c r="E20" t="s">
        <v>282</v>
      </c>
      <c r="F20" t="str">
        <f t="shared" si="0"/>
        <v>c</v>
      </c>
      <c r="G20" t="s">
        <v>270</v>
      </c>
      <c r="H20" t="str">
        <f t="shared" si="1"/>
        <v>c.[Spanish Education],</v>
      </c>
    </row>
    <row r="21" spans="5:8" x14ac:dyDescent="0.25">
      <c r="E21" t="s">
        <v>282</v>
      </c>
      <c r="F21" t="str">
        <f t="shared" si="0"/>
        <v>c</v>
      </c>
      <c r="G21" t="s">
        <v>271</v>
      </c>
      <c r="H21" t="str">
        <f t="shared" si="1"/>
        <v>c.[French Education],</v>
      </c>
    </row>
    <row r="22" spans="5:8" x14ac:dyDescent="0.25">
      <c r="E22" t="s">
        <v>282</v>
      </c>
      <c r="F22" t="str">
        <f t="shared" si="0"/>
        <v>c</v>
      </c>
      <c r="G22" t="s">
        <v>272</v>
      </c>
      <c r="H22" t="str">
        <f t="shared" si="1"/>
        <v>c.[English Occupation],</v>
      </c>
    </row>
    <row r="23" spans="5:8" x14ac:dyDescent="0.25">
      <c r="E23" t="s">
        <v>282</v>
      </c>
      <c r="F23" t="str">
        <f t="shared" si="0"/>
        <v>c</v>
      </c>
      <c r="G23" t="s">
        <v>273</v>
      </c>
      <c r="H23" t="str">
        <f t="shared" si="1"/>
        <v>c.[Spanish Occupation],</v>
      </c>
    </row>
    <row r="24" spans="5:8" x14ac:dyDescent="0.25">
      <c r="E24" t="s">
        <v>282</v>
      </c>
      <c r="F24" t="str">
        <f t="shared" si="0"/>
        <v>c</v>
      </c>
      <c r="G24" t="s">
        <v>274</v>
      </c>
      <c r="H24" t="str">
        <f t="shared" si="1"/>
        <v>c.[French Occupation],</v>
      </c>
    </row>
    <row r="25" spans="5:8" x14ac:dyDescent="0.25">
      <c r="E25" t="s">
        <v>282</v>
      </c>
      <c r="F25" t="str">
        <f t="shared" si="0"/>
        <v>c</v>
      </c>
      <c r="G25" t="s">
        <v>275</v>
      </c>
      <c r="H25" t="str">
        <f t="shared" si="1"/>
        <v>c.[House Owner Flag],</v>
      </c>
    </row>
    <row r="26" spans="5:8" x14ac:dyDescent="0.25">
      <c r="E26" t="s">
        <v>282</v>
      </c>
      <c r="F26" t="str">
        <f t="shared" si="0"/>
        <v>c</v>
      </c>
      <c r="G26" t="s">
        <v>276</v>
      </c>
      <c r="H26" t="str">
        <f t="shared" si="1"/>
        <v>c.[Number Cars Owned],</v>
      </c>
    </row>
    <row r="27" spans="5:8" x14ac:dyDescent="0.25">
      <c r="E27" t="s">
        <v>282</v>
      </c>
      <c r="F27" t="str">
        <f t="shared" si="0"/>
        <v>c</v>
      </c>
      <c r="G27" t="s">
        <v>277</v>
      </c>
      <c r="H27" t="str">
        <f t="shared" si="1"/>
        <v>c.[Address Line1],</v>
      </c>
    </row>
    <row r="28" spans="5:8" x14ac:dyDescent="0.25">
      <c r="E28" t="s">
        <v>282</v>
      </c>
      <c r="F28" t="str">
        <f t="shared" si="0"/>
        <v>c</v>
      </c>
      <c r="G28" t="s">
        <v>278</v>
      </c>
      <c r="H28" t="str">
        <f t="shared" si="1"/>
        <v>c.[Address Line2],</v>
      </c>
    </row>
    <row r="29" spans="5:8" x14ac:dyDescent="0.25">
      <c r="E29" t="s">
        <v>282</v>
      </c>
      <c r="F29" t="str">
        <f t="shared" si="0"/>
        <v>c</v>
      </c>
      <c r="G29" t="s">
        <v>279</v>
      </c>
      <c r="H29" t="str">
        <f t="shared" si="1"/>
        <v>c.[Phone],</v>
      </c>
    </row>
    <row r="30" spans="5:8" x14ac:dyDescent="0.25">
      <c r="E30" t="s">
        <v>282</v>
      </c>
      <c r="F30" t="str">
        <f t="shared" si="0"/>
        <v>c</v>
      </c>
      <c r="G30" t="s">
        <v>280</v>
      </c>
      <c r="H30" t="str">
        <f t="shared" si="1"/>
        <v>c.[Date First Purchase],</v>
      </c>
    </row>
    <row r="31" spans="5:8" x14ac:dyDescent="0.25">
      <c r="E31" t="s">
        <v>282</v>
      </c>
      <c r="F31" t="str">
        <f t="shared" si="0"/>
        <v>c</v>
      </c>
      <c r="G31" t="s">
        <v>281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D16"/>
  <sheetViews>
    <sheetView workbookViewId="0">
      <selection activeCell="D10" sqref="D10"/>
    </sheetView>
  </sheetViews>
  <sheetFormatPr defaultRowHeight="15" x14ac:dyDescent="0.25"/>
  <cols>
    <col min="1" max="1" width="16.7109375" bestFit="1" customWidth="1"/>
    <col min="2" max="2" width="10.85546875" bestFit="1" customWidth="1"/>
    <col min="3" max="3" width="14.28515625" bestFit="1" customWidth="1"/>
    <col min="4" max="4" width="20.28515625" bestFit="1" customWidth="1"/>
  </cols>
  <sheetData>
    <row r="1" spans="1:4" x14ac:dyDescent="0.25">
      <c r="A1" s="1" t="s">
        <v>312</v>
      </c>
      <c r="B1" s="1" t="s">
        <v>322</v>
      </c>
      <c r="C1" s="1" t="s">
        <v>311</v>
      </c>
      <c r="D1" s="1" t="s">
        <v>305</v>
      </c>
    </row>
    <row r="2" spans="1:4" x14ac:dyDescent="0.25">
      <c r="A2" t="s">
        <v>313</v>
      </c>
      <c r="C2" t="s">
        <v>309</v>
      </c>
      <c r="D2" t="s">
        <v>306</v>
      </c>
    </row>
    <row r="3" spans="1:4" x14ac:dyDescent="0.25">
      <c r="A3" t="s">
        <v>314</v>
      </c>
      <c r="C3" t="s">
        <v>310</v>
      </c>
      <c r="D3" t="s">
        <v>307</v>
      </c>
    </row>
    <row r="4" spans="1:4" x14ac:dyDescent="0.25">
      <c r="A4" t="s">
        <v>315</v>
      </c>
      <c r="D4" t="s">
        <v>308</v>
      </c>
    </row>
    <row r="5" spans="1:4" x14ac:dyDescent="0.25">
      <c r="A5" t="s">
        <v>316</v>
      </c>
    </row>
    <row r="6" spans="1:4" x14ac:dyDescent="0.25">
      <c r="A6" t="s">
        <v>37</v>
      </c>
    </row>
    <row r="7" spans="1:4" x14ac:dyDescent="0.25">
      <c r="A7" t="s">
        <v>146</v>
      </c>
    </row>
    <row r="8" spans="1:4" x14ac:dyDescent="0.25">
      <c r="A8" t="s">
        <v>317</v>
      </c>
    </row>
    <row r="9" spans="1:4" x14ac:dyDescent="0.25">
      <c r="A9" t="s">
        <v>318</v>
      </c>
    </row>
    <row r="10" spans="1:4" x14ac:dyDescent="0.25">
      <c r="A10" t="s">
        <v>145</v>
      </c>
    </row>
    <row r="11" spans="1:4" x14ac:dyDescent="0.25">
      <c r="A11" t="s">
        <v>319</v>
      </c>
    </row>
    <row r="12" spans="1:4" x14ac:dyDescent="0.25">
      <c r="A12" t="s">
        <v>26</v>
      </c>
    </row>
    <row r="13" spans="1:4" x14ac:dyDescent="0.25">
      <c r="A13" t="s">
        <v>320</v>
      </c>
    </row>
    <row r="14" spans="1:4" x14ac:dyDescent="0.25">
      <c r="A14" t="s">
        <v>147</v>
      </c>
    </row>
    <row r="15" spans="1:4" x14ac:dyDescent="0.25">
      <c r="A15" t="s">
        <v>144</v>
      </c>
    </row>
    <row r="16" spans="1:4" x14ac:dyDescent="0.25">
      <c r="A16" t="s">
        <v>321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Create Stage Table</vt:lpstr>
      <vt:lpstr>Char Length Analysis</vt:lpstr>
      <vt:lpstr>Column Notes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Adaryl Wakefield</cp:lastModifiedBy>
  <dcterms:created xsi:type="dcterms:W3CDTF">2015-06-05T18:17:20Z</dcterms:created>
  <dcterms:modified xsi:type="dcterms:W3CDTF">2020-12-10T07:20:29Z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1e004245-f29b-4de2-abde-788a25b6b26c</vt:lpwstr>
  </property>
</Properties>
</file>