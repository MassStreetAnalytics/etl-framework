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ocuments\Repos\etl-framework\"/>
    </mc:Choice>
  </mc:AlternateContent>
  <xr:revisionPtr revIDLastSave="0" documentId="13_ncr:1_{C9D79FFA-F7FF-48FC-8DCB-BCB49B41F580}" xr6:coauthVersionLast="33" xr6:coauthVersionMax="33" xr10:uidLastSave="{00000000-0000-0000-0000-000000000000}"/>
  <bookViews>
    <workbookView xWindow="0" yWindow="0" windowWidth="22260" windowHeight="12645" firstSheet="9" activeTab="11" xr2:uid="{00000000-000D-0000-FFFF-FFFF00000000}"/>
  </bookViews>
  <sheets>
    <sheet name="Todos" sheetId="14" r:id="rId1"/>
    <sheet name="Sample Data" sheetId="2" r:id="rId2"/>
    <sheet name="Column Notes" sheetId="1" r:id="rId3"/>
    <sheet name="Create Stage Table" sheetId="3" r:id="rId4"/>
    <sheet name="Column Cleansing Notes" sheetId="4" r:id="rId5"/>
    <sheet name="Source To Target Mapping" sheetId="6" r:id="rId6"/>
    <sheet name="Dimension List" sheetId="5" r:id="rId7"/>
    <sheet name="Fact Table Creation Helper" sheetId="8" r:id="rId8"/>
    <sheet name="Foreign Key Creation" sheetId="7" r:id="rId9"/>
    <sheet name="Process Fact Script Helper" sheetId="11" r:id="rId10"/>
    <sheet name="Indexed View Creation Helper" sheetId="15" r:id="rId11"/>
    <sheet name="Date Role Play View Helper" sheetId="16" r:id="rId12"/>
    <sheet name="Reporting View Creation Helper" sheetId="10" r:id="rId13"/>
  </sheets>
  <functionGroups builtInGroupCount="19"/>
  <definedNames>
    <definedName name="_xlnm._FilterDatabase" localSheetId="2" hidden="1">'Column Notes'!$A$1:$F$12</definedName>
    <definedName name="_xlnm._FilterDatabase" localSheetId="5" hidden="1">'Source To Target Mapping'!$A$1:$E$12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" i="10"/>
  <c r="I4" i="11"/>
  <c r="I5" i="11"/>
  <c r="I6" i="11"/>
  <c r="I3" i="11"/>
  <c r="H3" i="11"/>
  <c r="A4" i="11"/>
  <c r="B4" i="11"/>
  <c r="C4" i="11"/>
  <c r="D4" i="11"/>
  <c r="H4" i="11" s="1"/>
  <c r="A5" i="11"/>
  <c r="B5" i="11"/>
  <c r="C5" i="11"/>
  <c r="D5" i="11"/>
  <c r="H5" i="11" s="1"/>
  <c r="A6" i="11"/>
  <c r="B6" i="11"/>
  <c r="C6" i="11"/>
  <c r="D6" i="11"/>
  <c r="H6" i="11" s="1"/>
  <c r="D3" i="11"/>
  <c r="C3" i="11"/>
  <c r="B3" i="11"/>
  <c r="A3" i="11"/>
  <c r="G4" i="5"/>
  <c r="G5" i="5"/>
  <c r="G6" i="5"/>
  <c r="G7" i="5"/>
  <c r="G3" i="5"/>
  <c r="F4" i="5"/>
  <c r="F5" i="5"/>
  <c r="F6" i="5"/>
  <c r="F7" i="5"/>
  <c r="F3" i="5"/>
  <c r="C4" i="7"/>
  <c r="E4" i="7" s="1"/>
  <c r="G4" i="7" s="1"/>
  <c r="D4" i="7"/>
  <c r="F4" i="7" s="1"/>
  <c r="H4" i="7" s="1"/>
  <c r="C5" i="7"/>
  <c r="D5" i="7"/>
  <c r="F5" i="7" s="1"/>
  <c r="H5" i="7" s="1"/>
  <c r="E5" i="7"/>
  <c r="G5" i="7" s="1"/>
  <c r="I5" i="7" s="1"/>
  <c r="C6" i="7"/>
  <c r="E6" i="7" s="1"/>
  <c r="G6" i="7" s="1"/>
  <c r="D6" i="7"/>
  <c r="F6" i="7"/>
  <c r="H6" i="7" s="1"/>
  <c r="C7" i="7"/>
  <c r="E7" i="7" s="1"/>
  <c r="G7" i="7" s="1"/>
  <c r="I7" i="7" s="1"/>
  <c r="D7" i="7"/>
  <c r="F7" i="7"/>
  <c r="H7" i="7" s="1"/>
  <c r="E3" i="7"/>
  <c r="B4" i="8"/>
  <c r="B5" i="8"/>
  <c r="B6" i="8"/>
  <c r="B7" i="8"/>
  <c r="B3" i="8"/>
  <c r="D4" i="5"/>
  <c r="D5" i="5"/>
  <c r="D6" i="5"/>
  <c r="D7" i="5"/>
  <c r="B4" i="5"/>
  <c r="B5" i="5"/>
  <c r="B6" i="5"/>
  <c r="B7" i="5"/>
  <c r="D3" i="5"/>
  <c r="B3" i="5"/>
  <c r="D3" i="7"/>
  <c r="F3" i="7" s="1"/>
  <c r="C3" i="7"/>
  <c r="A4" i="8"/>
  <c r="E4" i="8" s="1"/>
  <c r="A5" i="8"/>
  <c r="A6" i="8"/>
  <c r="E6" i="8" s="1"/>
  <c r="A7" i="8"/>
  <c r="A3" i="8"/>
  <c r="B17" i="16"/>
  <c r="B13" i="16"/>
  <c r="B19" i="16"/>
  <c r="B3" i="16"/>
  <c r="B14" i="16"/>
  <c r="B4" i="16"/>
  <c r="B12" i="15"/>
  <c r="B28" i="15"/>
  <c r="B23" i="15"/>
  <c r="B13" i="15"/>
  <c r="B29" i="15"/>
  <c r="B18" i="15"/>
  <c r="B19" i="15"/>
  <c r="B20" i="15"/>
  <c r="B21" i="15"/>
  <c r="B6" i="16"/>
  <c r="B8" i="15"/>
  <c r="B25" i="15"/>
  <c r="B9" i="16"/>
  <c r="B15" i="16"/>
  <c r="B20" i="16"/>
  <c r="B12" i="16"/>
  <c r="B3" i="15"/>
  <c r="B16" i="15"/>
  <c r="B26" i="15"/>
  <c r="B31" i="15"/>
  <c r="B17" i="15"/>
  <c r="B6" i="15"/>
  <c r="B22" i="15"/>
  <c r="B27" i="15"/>
  <c r="B4" i="15"/>
  <c r="B5" i="15"/>
  <c r="B30" i="15"/>
  <c r="B7" i="16"/>
  <c r="B24" i="15"/>
  <c r="B9" i="15"/>
  <c r="B11" i="15"/>
  <c r="B21" i="16"/>
  <c r="B5" i="16"/>
  <c r="B11" i="16"/>
  <c r="B18" i="16"/>
  <c r="B10" i="16"/>
  <c r="B7" i="15"/>
  <c r="B10" i="15"/>
  <c r="B16" i="16"/>
  <c r="B8" i="16"/>
  <c r="B15" i="15"/>
  <c r="B14" i="15"/>
  <c r="C14" i="15" l="1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6" i="7"/>
  <c r="I4" i="7"/>
  <c r="E5" i="8"/>
  <c r="E7" i="8"/>
  <c r="G7" i="8"/>
  <c r="I7" i="8" s="1"/>
  <c r="G6" i="8"/>
  <c r="I6" i="8" s="1"/>
  <c r="G5" i="8"/>
  <c r="I5" i="8" s="1"/>
  <c r="G4" i="8"/>
  <c r="I4" i="8" s="1"/>
  <c r="G3" i="7" l="1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<sst xmlns="http://schemas.openxmlformats.org/spreadsheetml/2006/main" count="6450" uniqueCount="298">
  <si>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</si>
  <si>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</si>
  <si>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</si>
  <si>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</si>
  <si>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</si>
  <si>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</si>
  <si>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</si>
  <si>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</si>
  <si>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</si>
  <si>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</si>
  <si>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</si>
  <si>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</si>
  <si>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</si>
  <si>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</si>
  <si>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</si>
  <si>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</si>
  <si>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</si>
  <si>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</si>
  <si>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</si>
  <si>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</si>
  <si>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</si>
  <si>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</si>
  <si>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</si>
  <si>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</si>
  <si>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</si>
  <si>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</si>
  <si>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</si>
  <si>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</si>
  <si>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</si>
  <si>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</si>
  <si>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</si>
  <si>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</si>
  <si>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</si>
  <si>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</si>
  <si>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</si>
  <si>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</si>
  <si>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</si>
  <si>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</si>
  <si>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</si>
  <si>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</si>
  <si>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</si>
  <si>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</si>
  <si>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</si>
  <si>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</si>
  <si>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</si>
  <si>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</si>
  <si>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</si>
  <si>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</si>
  <si>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</si>
  <si>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</si>
  <si>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</si>
  <si>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</si>
  <si>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</si>
  <si>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</si>
  <si>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</si>
  <si>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</si>
  <si>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</si>
  <si>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</si>
  <si>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</si>
  <si>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</si>
  <si>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</si>
  <si>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</si>
  <si>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</si>
  <si>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</si>
  <si>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</si>
  <si>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</si>
  <si>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</si>
  <si>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</si>
  <si>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</si>
  <si>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</si>
  <si>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</si>
  <si>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</si>
  <si>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</si>
  <si>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</si>
  <si>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</si>
  <si>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</si>
  <si>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</si>
  <si>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</si>
  <si>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</si>
  <si>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</si>
  <si>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</si>
  <si>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</si>
  <si>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</si>
  <si>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</si>
  <si>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</si>
  <si>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</si>
  <si>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</si>
  <si>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</si>
  <si>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</si>
  <si>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</si>
  <si>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</si>
  <si>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</si>
  <si>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</si>
  <si>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</si>
  <si>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</si>
  <si>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</si>
  <si>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</si>
  <si>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</si>
  <si>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</si>
  <si>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</si>
  <si>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</si>
  <si>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</si>
  <si>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</si>
  <si>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</si>
  <si>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</si>
  <si>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</si>
  <si>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</si>
  <si>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</si>
  <si>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</si>
  <si>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</si>
  <si>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</si>
  <si>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</si>
  <si>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</si>
  <si>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</si>
  <si>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</si>
  <si>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</si>
  <si>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</si>
  <si>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</si>
  <si>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</si>
  <si>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</si>
  <si>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</si>
  <si>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</si>
  <si>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</si>
  <si>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</si>
  <si>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</si>
  <si>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</si>
  <si>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</si>
  <si>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</si>
  <si>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</si>
  <si>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</si>
  <si>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</si>
  <si>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</si>
  <si>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</si>
  <si>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</si>
  <si>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</si>
  <si>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</si>
  <si>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</si>
  <si>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</si>
  <si>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</si>
  <si>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</si>
  <si>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</si>
  <si>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</si>
  <si>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</si>
  <si>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</si>
  <si>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</si>
  <si>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</si>
  <si>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</si>
  <si>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Create Function to determine length of data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</si>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</sst>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Font="1"/>
    <xf numFmtId="14" fontId="0" fillId="0" borderId="0" xfId="0" applyNumberFormat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workbookViewId="0"/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162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3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3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3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3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3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3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3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3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3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3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3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3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3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3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3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3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3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3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3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3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3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3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3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3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3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3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3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3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3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3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3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3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3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3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3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3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3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3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3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3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3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3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3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3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3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3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3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3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3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3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3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3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3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3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3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3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3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3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3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3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3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3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3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3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3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3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3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3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3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3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3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3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3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3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3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3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3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3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3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3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3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3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3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3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3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3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3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3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3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3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3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3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3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3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3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3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3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3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3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3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3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3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3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3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3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3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3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3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3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3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3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3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3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3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3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3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3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3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3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3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3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3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3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3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3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3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3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3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3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3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3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3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3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3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3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3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3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3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3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3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3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3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3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3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3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3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3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3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3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3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3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3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3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3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3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3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3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3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3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3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3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3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3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3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3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3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3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3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3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3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3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3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3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3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3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3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3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3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3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3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3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3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3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3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3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3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3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3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3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3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3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3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3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3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3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3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3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3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3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3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3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3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3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3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3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3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3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3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3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3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3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3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3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3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3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3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3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3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3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3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3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3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3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3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3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3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3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3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3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3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3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3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3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3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3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3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3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3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3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3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3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3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3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3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3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3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3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3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3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3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3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3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3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3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3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3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3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3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3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3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3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3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3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3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3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3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3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3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3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3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3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3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3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3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3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3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3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3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3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3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3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3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3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3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3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3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3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3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3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3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3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3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3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3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3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3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3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3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3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3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3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3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3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3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3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3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3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3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3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3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3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3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3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3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3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3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3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3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3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3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3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3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3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3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3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3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3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3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3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3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3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3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3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3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3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3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3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3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3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3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3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3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3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3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3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3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3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3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3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3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3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3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3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3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3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3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3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3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3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3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3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3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3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3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3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3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3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3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3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3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3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3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3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3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3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3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3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3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3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3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3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3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3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3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3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3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3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3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3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3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3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3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3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3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3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3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3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3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3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3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3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3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3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3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3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3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3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3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3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3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3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3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3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3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3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3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3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3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3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3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3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3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3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3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3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3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3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3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3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3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3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3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3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3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3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3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3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3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3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3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3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3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3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3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3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3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3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3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3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3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3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3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3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3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3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3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3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3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3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3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3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3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3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3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3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3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3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3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3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3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3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3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3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3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3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3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3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3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3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3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3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3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3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3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3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3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3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3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3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3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3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3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3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3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3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3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3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3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3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3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3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3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3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3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3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3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3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3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3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3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3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3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3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3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3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3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3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3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3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3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3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3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3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3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3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3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3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3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3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3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3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3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3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3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3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3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3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3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3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3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3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3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3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3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3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3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3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3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3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3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3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3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3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3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3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3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3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3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3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3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3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3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3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3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3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3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3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3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3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3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3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3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3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3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3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3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3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3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3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3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3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3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3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3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3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3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3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3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3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3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3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3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3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3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3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3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3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3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3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3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3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3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3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3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3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3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3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3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3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3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3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3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3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3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3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3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3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3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3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3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3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3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3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3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3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3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3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3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3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3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3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3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3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3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3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3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3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3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3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3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3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3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3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3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3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3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3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3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3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3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3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3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3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3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3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3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3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3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3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3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3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3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3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3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3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3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3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3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3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3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3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3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3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3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3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3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3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3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3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3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3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3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3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3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3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3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3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3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3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3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3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3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3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3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3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3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3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3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3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3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3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3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3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3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3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3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3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3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3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3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3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3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3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3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3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3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3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3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3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3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3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3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3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3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3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3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3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3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3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3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3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3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3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3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3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3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3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3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3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3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3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3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3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3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3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3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3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3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3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3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3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3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3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3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3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3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3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3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3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3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3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3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3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3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3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3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3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3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3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3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3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3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3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3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3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3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3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3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3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3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3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3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3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3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3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3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3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3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3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3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3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3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3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3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3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3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3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3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3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3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3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3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3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3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3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3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3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3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3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3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3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3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3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3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3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3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3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3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3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3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3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3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3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3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3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3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3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3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3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3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3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3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3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3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3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3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3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3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3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3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3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3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3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3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3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3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3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3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3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3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3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3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3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3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3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3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3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3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3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3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3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3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3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3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3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3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3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3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3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3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3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3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3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3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3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3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3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3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3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3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3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3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3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3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3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3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3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3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3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3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3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3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3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3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3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3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3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3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3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3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3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3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3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3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3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3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3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3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3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3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3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3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3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3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3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3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3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3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3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3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3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3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3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3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3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3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3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3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3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3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3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3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3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3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3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3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3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3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3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3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3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3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3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3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3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3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3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3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3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3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3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3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3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3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3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3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3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3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3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3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3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3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3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3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3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3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3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3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3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3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3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3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3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3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3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3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3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3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3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3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3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3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3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3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3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3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3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3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3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3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3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3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3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3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3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3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3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3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3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3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>
      <selection activeCell="D3" sqref="D3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162</v>
      </c>
      <c r="B2" t="s">
        <v>144</v>
      </c>
      <c r="C2" t="s">
        <v>149</v>
      </c>
      <c r="D2" t="s">
        <v>164</v>
      </c>
      <c r="E2" t="s">
        <v>151</v>
      </c>
    </row>
    <row r="3" spans="1:6" x14ac:dyDescent="0.25">
      <c r="A3" t="s">
        <v>45</v>
      </c>
      <c r="B3" t="s">
        <v>145</v>
      </c>
      <c r="C3" t="s">
        <v>7</v>
      </c>
      <c r="E3" t="s">
        <v>152</v>
      </c>
      <c r="F3" t="s">
        <v>157</v>
      </c>
    </row>
    <row r="4" spans="1:6" x14ac:dyDescent="0.25">
      <c r="A4" t="s">
        <v>46</v>
      </c>
      <c r="B4" t="s">
        <v>146</v>
      </c>
      <c r="C4" t="s">
        <v>7</v>
      </c>
      <c r="E4" t="s">
        <v>152</v>
      </c>
    </row>
    <row r="5" spans="1:6" x14ac:dyDescent="0.25">
      <c r="A5" t="s">
        <v>47</v>
      </c>
      <c r="B5" t="s">
        <v>145</v>
      </c>
      <c r="C5" t="s">
        <v>7</v>
      </c>
      <c r="E5" t="s">
        <v>153</v>
      </c>
      <c r="F5" t="s">
        <v>158</v>
      </c>
    </row>
    <row r="6" spans="1:6" x14ac:dyDescent="0.25">
      <c r="A6" t="s">
        <v>48</v>
      </c>
      <c r="B6" t="s">
        <v>146</v>
      </c>
      <c r="C6" t="s">
        <v>7</v>
      </c>
      <c r="E6" t="s">
        <v>153</v>
      </c>
    </row>
    <row r="7" spans="1:6" x14ac:dyDescent="0.25">
      <c r="A7" t="s">
        <v>49</v>
      </c>
      <c r="B7" t="s">
        <v>145</v>
      </c>
      <c r="C7" t="s">
        <v>7</v>
      </c>
      <c r="D7" t="s">
        <v>150</v>
      </c>
      <c r="E7" t="s">
        <v>156</v>
      </c>
    </row>
    <row r="8" spans="1:6" x14ac:dyDescent="0.25">
      <c r="A8" t="s">
        <v>50</v>
      </c>
      <c r="B8" t="s">
        <v>37</v>
      </c>
      <c r="C8" t="s">
        <v>7</v>
      </c>
      <c r="D8" t="s">
        <v>150</v>
      </c>
      <c r="E8" t="s">
        <v>156</v>
      </c>
    </row>
    <row r="9" spans="1:6" x14ac:dyDescent="0.25">
      <c r="A9" t="s">
        <v>51</v>
      </c>
      <c r="B9" t="s">
        <v>146</v>
      </c>
      <c r="C9" t="s">
        <v>7</v>
      </c>
      <c r="D9" t="s">
        <v>150</v>
      </c>
      <c r="E9" t="s">
        <v>155</v>
      </c>
    </row>
    <row r="10" spans="1:6" x14ac:dyDescent="0.25">
      <c r="A10" t="s">
        <v>52</v>
      </c>
      <c r="B10" t="s">
        <v>146</v>
      </c>
      <c r="C10" t="s">
        <v>7</v>
      </c>
      <c r="D10" t="s">
        <v>150</v>
      </c>
      <c r="E10" t="s">
        <v>155</v>
      </c>
    </row>
    <row r="11" spans="1:6" x14ac:dyDescent="0.25">
      <c r="A11" t="s">
        <v>53</v>
      </c>
      <c r="B11" t="s">
        <v>146</v>
      </c>
      <c r="C11" t="s">
        <v>7</v>
      </c>
      <c r="D11" t="s">
        <v>150</v>
      </c>
      <c r="E11" t="s">
        <v>155</v>
      </c>
    </row>
    <row r="12" spans="1:6" x14ac:dyDescent="0.25">
      <c r="A12" t="s">
        <v>54</v>
      </c>
      <c r="B12" t="s">
        <v>148</v>
      </c>
      <c r="C12" t="s">
        <v>149</v>
      </c>
      <c r="E12" t="s">
        <v>151</v>
      </c>
    </row>
  </sheetData>
  <autoFilter ref="A1:F12" xr:uid="{00000000-0009-0000-0000-000001000000}"/>
  <dataValidations disablePrompts="1" count="2">
    <dataValidation type="list" allowBlank="1" showInputMessage="1" showErrorMessage="1" sqref="C1" xr:uid="{00000000-0002-0000-0100-000000000000}">
      <formula1>"Dimension, Fact"</formula1>
    </dataValidation>
    <dataValidation type="list" allowBlank="1" showInputMessage="1" showErrorMessage="1" sqref="D1" xr:uid="{00000000-0002-0000-0100-000001000000}">
      <formula1>"Junk, Role Play, Junk, Degenerate"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A19" sqref="A19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162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162</v>
      </c>
      <c r="B2" t="s">
        <v>163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B21" sqref="B21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161</v>
      </c>
      <c r="B2" t="s">
        <v>162</v>
      </c>
      <c r="C2" s="2" t="s">
        <v>151</v>
      </c>
      <c r="D2" s="2" t="s">
        <v>42</v>
      </c>
    </row>
    <row r="3" spans="1:5" x14ac:dyDescent="0.25">
      <c r="A3" t="s">
        <v>161</v>
      </c>
      <c r="B3" t="s">
        <v>45</v>
      </c>
      <c r="C3" t="s">
        <v>152</v>
      </c>
      <c r="D3" t="s">
        <v>6</v>
      </c>
    </row>
    <row r="4" spans="1:5" x14ac:dyDescent="0.25">
      <c r="A4" t="s">
        <v>161</v>
      </c>
      <c r="B4" t="s">
        <v>46</v>
      </c>
      <c r="C4" t="s">
        <v>152</v>
      </c>
      <c r="D4" t="s">
        <v>46</v>
      </c>
    </row>
    <row r="5" spans="1:5" x14ac:dyDescent="0.25">
      <c r="A5" t="s">
        <v>161</v>
      </c>
      <c r="B5" t="s">
        <v>47</v>
      </c>
      <c r="C5" t="s">
        <v>153</v>
      </c>
      <c r="D5" t="s">
        <v>6</v>
      </c>
    </row>
    <row r="6" spans="1:5" x14ac:dyDescent="0.25">
      <c r="A6" t="s">
        <v>161</v>
      </c>
      <c r="B6" t="s">
        <v>48</v>
      </c>
      <c r="C6" t="s">
        <v>153</v>
      </c>
      <c r="D6" t="s">
        <v>48</v>
      </c>
    </row>
    <row r="7" spans="1:5" x14ac:dyDescent="0.25">
      <c r="A7" t="s">
        <v>161</v>
      </c>
      <c r="B7" t="s">
        <v>49</v>
      </c>
      <c r="C7" t="s">
        <v>154</v>
      </c>
      <c r="D7" t="s">
        <v>6</v>
      </c>
    </row>
    <row r="8" spans="1:5" x14ac:dyDescent="0.25">
      <c r="A8" t="s">
        <v>161</v>
      </c>
      <c r="B8" t="s">
        <v>50</v>
      </c>
      <c r="C8" t="s">
        <v>154</v>
      </c>
      <c r="D8" t="s">
        <v>50</v>
      </c>
    </row>
    <row r="9" spans="1:5" x14ac:dyDescent="0.25">
      <c r="A9" t="s">
        <v>161</v>
      </c>
      <c r="B9" t="s">
        <v>51</v>
      </c>
      <c r="C9" t="s">
        <v>155</v>
      </c>
      <c r="D9" t="s">
        <v>51</v>
      </c>
    </row>
    <row r="10" spans="1:5" x14ac:dyDescent="0.25">
      <c r="A10" t="s">
        <v>161</v>
      </c>
      <c r="B10" t="s">
        <v>52</v>
      </c>
      <c r="C10" t="s">
        <v>155</v>
      </c>
      <c r="D10" t="s">
        <v>52</v>
      </c>
    </row>
    <row r="11" spans="1:5" x14ac:dyDescent="0.25">
      <c r="A11" t="s">
        <v>161</v>
      </c>
      <c r="B11" t="s">
        <v>53</v>
      </c>
      <c r="C11" t="s">
        <v>155</v>
      </c>
      <c r="D11" t="s">
        <v>53</v>
      </c>
    </row>
    <row r="12" spans="1:5" x14ac:dyDescent="0.25">
      <c r="A12" t="s">
        <v>161</v>
      </c>
      <c r="B12" t="s">
        <v>54</v>
      </c>
      <c r="C12" t="s">
        <v>151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D3" sqref="D3:D7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4" t="s">
        <v>159</v>
      </c>
      <c r="B1" s="4"/>
      <c r="C1" s="4"/>
      <c r="D1" s="4"/>
      <c r="E1" s="4"/>
    </row>
    <row r="2" spans="1:7" x14ac:dyDescent="0.25">
      <c r="A2" s="1" t="s">
        <v>16</v>
      </c>
      <c r="B2" s="1" t="s">
        <v>168</v>
      </c>
      <c r="C2" s="1" t="s">
        <v>165</v>
      </c>
      <c r="D2" s="1" t="s">
        <v>169</v>
      </c>
      <c r="E2" s="1" t="s">
        <v>160</v>
      </c>
      <c r="F2" s="1" t="s">
        <v>171</v>
      </c>
      <c r="G2" s="1" t="s">
        <v>172</v>
      </c>
    </row>
    <row r="3" spans="1:7" x14ac:dyDescent="0.25">
      <c r="A3" t="s">
        <v>152</v>
      </c>
      <c r="B3" t="str">
        <f>SUBSTITUTE(A3,"Dim","")&amp;"CK"</f>
        <v>OrganizationCK</v>
      </c>
      <c r="C3" t="s">
        <v>152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153</v>
      </c>
      <c r="B4" t="str">
        <f t="shared" ref="B4:B7" si="0">SUBSTITUTE(A4,"Dim","")&amp;"CK"</f>
        <v>DepartmentCK</v>
      </c>
      <c r="C4" t="s">
        <v>153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154</v>
      </c>
      <c r="B5" t="str">
        <f t="shared" si="0"/>
        <v>ScenarioCK</v>
      </c>
      <c r="C5" t="s">
        <v>156</v>
      </c>
      <c r="D5" t="str">
        <f t="shared" si="1"/>
        <v>Scenario 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155</v>
      </c>
      <c r="B6" t="str">
        <f t="shared" si="0"/>
        <v>AccountCK</v>
      </c>
      <c r="C6" t="s">
        <v>155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166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A2" sqref="A2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170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List'!A:B,2,FALSE)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List'!A:B,2,FALSE)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List'!A:B,2,FALSE)</f>
        <v>ScenarioCK</v>
      </c>
      <c r="C5" t="s">
        <v>26</v>
      </c>
      <c r="D5" t="s">
        <v>27</v>
      </c>
      <c r="E5" t="str">
        <f t="shared" si="0"/>
        <v>ScenarioCK BIGINT NOT NULL,</v>
      </c>
      <c r="F5" t="s">
        <v>28</v>
      </c>
      <c r="G5" t="str">
        <f t="shared" si="1"/>
        <v>ScenarioCK</v>
      </c>
      <c r="H5" t="s">
        <v>29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List'!A:B,2,FALSE)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List'!A:B,2,FALSE)</f>
        <v>DateCK</v>
      </c>
      <c r="C7" t="s">
        <v>26</v>
      </c>
      <c r="D7" t="s">
        <v>27</v>
      </c>
      <c r="E7" t="str">
        <f t="shared" si="0"/>
        <v>DateCK BIGINT NOT NULL,</v>
      </c>
      <c r="F7" t="s">
        <v>28</v>
      </c>
      <c r="G7" t="str">
        <f t="shared" si="1"/>
        <v>DateCK</v>
      </c>
      <c r="H7" t="s">
        <v>29</v>
      </c>
      <c r="I7" t="str">
        <f t="shared" si="2"/>
        <v>CONVERT([nvarchar](35),DateCK),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167</v>
      </c>
      <c r="B3" t="s">
        <v>151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167</v>
      </c>
      <c r="B4" t="s">
        <v>151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167</v>
      </c>
      <c r="B5" t="s">
        <v>151</v>
      </c>
      <c r="C5" t="str">
        <f>'Dimension List'!C5</f>
        <v xml:space="preserve">DimScenario </v>
      </c>
      <c r="D5" t="str">
        <f>'Dimension List'!A5</f>
        <v>DimScenario</v>
      </c>
      <c r="E5" t="str">
        <f>VLOOKUP(C5,'Dimension List'!C:D,2,FALSE)</f>
        <v>Scenario 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 ] FOREIGN KEY([Scenario 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 ] FOREIGN KEY([Scenario CK]) REFERENCES [dbo].[DimScenario] ([ScenarioCK])</v>
      </c>
    </row>
    <row r="6" spans="1:9" x14ac:dyDescent="0.25">
      <c r="A6" t="s">
        <v>167</v>
      </c>
      <c r="B6" t="s">
        <v>151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167</v>
      </c>
      <c r="B7" t="s">
        <v>151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174</v>
      </c>
    </row>
    <row r="2" spans="1:9" x14ac:dyDescent="0.25">
      <c r="A2" s="1" t="s">
        <v>173</v>
      </c>
      <c r="B2" s="1" t="s">
        <v>160</v>
      </c>
      <c r="C2" s="1" t="s">
        <v>171</v>
      </c>
      <c r="D2" s="1" t="s">
        <v>172</v>
      </c>
      <c r="E2" s="1" t="s">
        <v>175</v>
      </c>
      <c r="F2" s="1" t="s">
        <v>176</v>
      </c>
      <c r="G2" s="1" t="s">
        <v>177</v>
      </c>
      <c r="H2" s="1" t="s">
        <v>178</v>
      </c>
      <c r="I2" s="1" t="s">
        <v>179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182</v>
      </c>
      <c r="B1" s="1" t="s">
        <v>211</v>
      </c>
    </row>
    <row r="2" spans="1:3" x14ac:dyDescent="0.25">
      <c r="A2" s="1" t="s">
        <v>180</v>
      </c>
      <c r="B2" s="1" t="s">
        <v>181</v>
      </c>
      <c r="C2" s="1" t="s">
        <v>212</v>
      </c>
    </row>
    <row r="3" spans="1:3" x14ac:dyDescent="0.25">
      <c r="A3" t="s">
        <v>183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184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185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186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187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188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189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190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191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192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193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194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195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196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197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198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199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200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201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202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203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204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205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206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207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208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209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210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tabSelected="1"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182</v>
      </c>
      <c r="B1" s="1" t="s">
        <v>211</v>
      </c>
      <c r="C1" s="1"/>
      <c r="F1" s="6" t="s">
        <v>285</v>
      </c>
      <c r="G1" s="6"/>
      <c r="H1" s="6"/>
      <c r="I1" s="6"/>
      <c r="J1" s="6"/>
    </row>
    <row r="2" spans="1:10" x14ac:dyDescent="0.25">
      <c r="A2" s="1" t="s">
        <v>180</v>
      </c>
      <c r="B2" s="1" t="s">
        <v>181</v>
      </c>
      <c r="C2" s="1" t="s">
        <v>231</v>
      </c>
      <c r="D2" s="1" t="s">
        <v>212</v>
      </c>
      <c r="F2" s="1" t="s">
        <v>286</v>
      </c>
      <c r="G2" s="1" t="s">
        <v>287</v>
      </c>
    </row>
    <row r="3" spans="1:10" x14ac:dyDescent="0.25">
      <c r="A3" t="s">
        <v>44</v>
      </c>
      <c r="B3" t="str">
        <f>AddSpaces(A3)</f>
        <v>Date Key</v>
      </c>
      <c r="C3" t="s">
        <v>230</v>
      </c>
      <c r="D3" t="str">
        <f>A3&amp;" AS ["&amp;C3&amp;" "&amp;B3&amp;"],"</f>
        <v>DateKey AS [Transaction Date Date Key],</v>
      </c>
      <c r="F3" t="s">
        <v>288</v>
      </c>
      <c r="G3" t="s">
        <v>289</v>
      </c>
    </row>
    <row r="4" spans="1:10" x14ac:dyDescent="0.25">
      <c r="A4" t="s">
        <v>162</v>
      </c>
      <c r="B4" t="str">
        <f t="shared" ref="B4:B21" si="0">AddSpaces(A4)</f>
        <v>Full Date Alternate Key</v>
      </c>
      <c r="C4" t="s">
        <v>230</v>
      </c>
      <c r="D4" t="str">
        <f t="shared" ref="D4:D21" si="1">A4&amp;" AS ["&amp;C4&amp;" "&amp;B4&amp;"],"</f>
        <v>FullDateAlternateKey AS [Transaction Date Full Date Alternate Key],</v>
      </c>
      <c r="F4" t="s">
        <v>290</v>
      </c>
      <c r="G4" t="s">
        <v>291</v>
      </c>
    </row>
    <row r="5" spans="1:10" x14ac:dyDescent="0.25">
      <c r="A5" t="s">
        <v>213</v>
      </c>
      <c r="B5" t="str">
        <f t="shared" si="0"/>
        <v>Day Number Of Week</v>
      </c>
      <c r="C5" t="s">
        <v>230</v>
      </c>
      <c r="D5" t="str">
        <f t="shared" si="1"/>
        <v>DayNumberOfWeek AS [Transaction Date Day Number Of Week],</v>
      </c>
      <c r="F5" t="s">
        <v>296</v>
      </c>
      <c r="G5" t="s">
        <v>292</v>
      </c>
    </row>
    <row r="6" spans="1:10" x14ac:dyDescent="0.25">
      <c r="A6" t="s">
        <v>214</v>
      </c>
      <c r="B6" t="str">
        <f t="shared" si="0"/>
        <v>English Day Name Of Week</v>
      </c>
      <c r="C6" t="s">
        <v>230</v>
      </c>
      <c r="D6" t="str">
        <f t="shared" si="1"/>
        <v>EnglishDayNameOfWeek AS [Transaction Date English Day Name Of Week],</v>
      </c>
      <c r="F6" t="s">
        <v>295</v>
      </c>
      <c r="G6" t="s">
        <v>293</v>
      </c>
    </row>
    <row r="7" spans="1:10" x14ac:dyDescent="0.25">
      <c r="A7" t="s">
        <v>215</v>
      </c>
      <c r="B7" t="str">
        <f t="shared" si="0"/>
        <v>Spanish Day Name Of Week</v>
      </c>
      <c r="C7" t="s">
        <v>230</v>
      </c>
      <c r="D7" t="str">
        <f t="shared" si="1"/>
        <v>SpanishDayNameOfWeek AS [Transaction Date Spanish Day Name Of Week],</v>
      </c>
      <c r="F7" t="s">
        <v>294</v>
      </c>
      <c r="G7" t="s">
        <v>297</v>
      </c>
    </row>
    <row r="8" spans="1:10" x14ac:dyDescent="0.25">
      <c r="A8" t="s">
        <v>216</v>
      </c>
      <c r="B8" t="str">
        <f t="shared" si="0"/>
        <v>French Day Name Of Week</v>
      </c>
      <c r="C8" t="s">
        <v>230</v>
      </c>
      <c r="D8" t="str">
        <f t="shared" si="1"/>
        <v>FrenchDayNameOfWeek AS [Transaction Date French Day Name Of Week],</v>
      </c>
    </row>
    <row r="9" spans="1:10" x14ac:dyDescent="0.25">
      <c r="A9" t="s">
        <v>217</v>
      </c>
      <c r="B9" t="str">
        <f t="shared" si="0"/>
        <v>Day Number Of Month</v>
      </c>
      <c r="C9" t="s">
        <v>230</v>
      </c>
      <c r="D9" t="str">
        <f t="shared" si="1"/>
        <v>DayNumberOfMonth AS [Transaction Date Day Number Of Month],</v>
      </c>
    </row>
    <row r="10" spans="1:10" x14ac:dyDescent="0.25">
      <c r="A10" t="s">
        <v>218</v>
      </c>
      <c r="B10" t="str">
        <f t="shared" si="0"/>
        <v>Day Number Of Year</v>
      </c>
      <c r="C10" t="s">
        <v>230</v>
      </c>
      <c r="D10" t="str">
        <f t="shared" si="1"/>
        <v>DayNumberOfYear AS [Transaction Date Day Number Of Year],</v>
      </c>
    </row>
    <row r="11" spans="1:10" x14ac:dyDescent="0.25">
      <c r="A11" t="s">
        <v>219</v>
      </c>
      <c r="B11" t="str">
        <f t="shared" si="0"/>
        <v>Week Number Of Year</v>
      </c>
      <c r="C11" t="s">
        <v>230</v>
      </c>
      <c r="D11" t="str">
        <f t="shared" si="1"/>
        <v>WeekNumberOfYear AS [Transaction Date Week Number Of Year],</v>
      </c>
    </row>
    <row r="12" spans="1:10" x14ac:dyDescent="0.25">
      <c r="A12" t="s">
        <v>220</v>
      </c>
      <c r="B12" t="str">
        <f t="shared" si="0"/>
        <v>English Month Name</v>
      </c>
      <c r="C12" t="s">
        <v>230</v>
      </c>
      <c r="D12" t="str">
        <f t="shared" si="1"/>
        <v>EnglishMonthName AS [Transaction Date English Month Name],</v>
      </c>
    </row>
    <row r="13" spans="1:10" x14ac:dyDescent="0.25">
      <c r="A13" t="s">
        <v>221</v>
      </c>
      <c r="B13" t="str">
        <f t="shared" si="0"/>
        <v>Spanish Month Name</v>
      </c>
      <c r="C13" t="s">
        <v>230</v>
      </c>
      <c r="D13" t="str">
        <f t="shared" si="1"/>
        <v>SpanishMonthName AS [Transaction Date Spanish Month Name],</v>
      </c>
    </row>
    <row r="14" spans="1:10" x14ac:dyDescent="0.25">
      <c r="A14" t="s">
        <v>222</v>
      </c>
      <c r="B14" t="str">
        <f t="shared" si="0"/>
        <v>French Month Name</v>
      </c>
      <c r="C14" t="s">
        <v>230</v>
      </c>
      <c r="D14" t="str">
        <f t="shared" si="1"/>
        <v>FrenchMonthName AS [Transaction Date French Month Name],</v>
      </c>
    </row>
    <row r="15" spans="1:10" x14ac:dyDescent="0.25">
      <c r="A15" t="s">
        <v>223</v>
      </c>
      <c r="B15" t="str">
        <f t="shared" si="0"/>
        <v>Month Number Of Year</v>
      </c>
      <c r="C15" t="s">
        <v>230</v>
      </c>
      <c r="D15" t="str">
        <f t="shared" si="1"/>
        <v>MonthNumberOfYear AS [Transaction Date Month Number Of Year],</v>
      </c>
    </row>
    <row r="16" spans="1:10" x14ac:dyDescent="0.25">
      <c r="A16" t="s">
        <v>224</v>
      </c>
      <c r="B16" t="str">
        <f t="shared" si="0"/>
        <v>Calendar Quarter</v>
      </c>
      <c r="C16" t="s">
        <v>230</v>
      </c>
      <c r="D16" t="str">
        <f t="shared" si="1"/>
        <v>CalendarQuarter AS [Transaction Date Calendar Quarter],</v>
      </c>
    </row>
    <row r="17" spans="1:4" x14ac:dyDescent="0.25">
      <c r="A17" t="s">
        <v>225</v>
      </c>
      <c r="B17" t="str">
        <f t="shared" si="0"/>
        <v>Calendar Year</v>
      </c>
      <c r="C17" t="s">
        <v>230</v>
      </c>
      <c r="D17" t="str">
        <f t="shared" si="1"/>
        <v>CalendarYear AS [Transaction Date Calendar Year],</v>
      </c>
    </row>
    <row r="18" spans="1:4" x14ac:dyDescent="0.25">
      <c r="A18" t="s">
        <v>226</v>
      </c>
      <c r="B18" t="str">
        <f t="shared" si="0"/>
        <v>Calendar Semester</v>
      </c>
      <c r="C18" t="s">
        <v>230</v>
      </c>
      <c r="D18" t="str">
        <f t="shared" si="1"/>
        <v>CalendarSemester AS [Transaction Date Calendar Semester],</v>
      </c>
    </row>
    <row r="19" spans="1:4" x14ac:dyDescent="0.25">
      <c r="A19" t="s">
        <v>227</v>
      </c>
      <c r="B19" t="str">
        <f t="shared" si="0"/>
        <v>Fiscal Quarter</v>
      </c>
      <c r="C19" t="s">
        <v>230</v>
      </c>
      <c r="D19" t="str">
        <f t="shared" si="1"/>
        <v>FiscalQuarter AS [Transaction Date Fiscal Quarter],</v>
      </c>
    </row>
    <row r="20" spans="1:4" x14ac:dyDescent="0.25">
      <c r="A20" t="s">
        <v>228</v>
      </c>
      <c r="B20" t="str">
        <f t="shared" si="0"/>
        <v>Fiscal Year</v>
      </c>
      <c r="C20" t="s">
        <v>230</v>
      </c>
      <c r="D20" t="str">
        <f t="shared" si="1"/>
        <v>FiscalYear AS [Transaction Date Fiscal Year],</v>
      </c>
    </row>
    <row r="21" spans="1:4" x14ac:dyDescent="0.25">
      <c r="A21" t="s">
        <v>229</v>
      </c>
      <c r="B21" t="str">
        <f t="shared" si="0"/>
        <v>Fiscal Semester</v>
      </c>
      <c r="C21" t="s">
        <v>230</v>
      </c>
      <c r="D21" t="str">
        <f t="shared" si="1"/>
        <v>FiscalSemester AS [Transaction Date Fiscal Semester],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5" t="s">
        <v>252</v>
      </c>
      <c r="B1" s="5"/>
      <c r="C1" s="5"/>
      <c r="E1" s="5" t="s">
        <v>253</v>
      </c>
      <c r="F1" s="5"/>
      <c r="G1" s="5"/>
      <c r="H1" s="5"/>
    </row>
    <row r="2" spans="1:8" x14ac:dyDescent="0.25">
      <c r="A2" s="1" t="s">
        <v>232</v>
      </c>
      <c r="B2" s="1" t="s">
        <v>233</v>
      </c>
      <c r="C2" s="1" t="s">
        <v>234</v>
      </c>
      <c r="E2" s="1" t="s">
        <v>232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240</v>
      </c>
      <c r="B3" t="s">
        <v>245</v>
      </c>
      <c r="C3" t="s">
        <v>235</v>
      </c>
      <c r="E3" t="s">
        <v>283</v>
      </c>
      <c r="F3" t="str">
        <f>VLOOKUP(E3,A:C,2,FALSE)</f>
        <v>c</v>
      </c>
      <c r="G3" t="s">
        <v>254</v>
      </c>
      <c r="H3" t="str">
        <f>F3&amp;"."&amp;G3&amp;","</f>
        <v>c.[Customer Key],</v>
      </c>
    </row>
    <row r="4" spans="1:8" x14ac:dyDescent="0.25">
      <c r="A4" t="s">
        <v>241</v>
      </c>
      <c r="B4" t="s">
        <v>246</v>
      </c>
      <c r="C4" t="s">
        <v>236</v>
      </c>
      <c r="E4" t="s">
        <v>283</v>
      </c>
      <c r="F4" t="str">
        <f t="shared" ref="F4:F31" si="0">VLOOKUP(E4,A:C,2,FALSE)</f>
        <v>c</v>
      </c>
      <c r="G4" t="s">
        <v>255</v>
      </c>
      <c r="H4" t="str">
        <f t="shared" ref="H4:H31" si="1">F4&amp;"."&amp;G4&amp;","</f>
        <v>c.[Geography Key],</v>
      </c>
    </row>
    <row r="5" spans="1:8" x14ac:dyDescent="0.25">
      <c r="A5" t="s">
        <v>242</v>
      </c>
      <c r="B5" t="s">
        <v>247</v>
      </c>
      <c r="C5" t="s">
        <v>237</v>
      </c>
      <c r="E5" t="s">
        <v>283</v>
      </c>
      <c r="F5" t="str">
        <f t="shared" si="0"/>
        <v>c</v>
      </c>
      <c r="G5" t="s">
        <v>256</v>
      </c>
      <c r="H5" t="str">
        <f t="shared" si="1"/>
        <v>c.[Customer Alternate Key],</v>
      </c>
    </row>
    <row r="6" spans="1:8" x14ac:dyDescent="0.25">
      <c r="A6" t="s">
        <v>243</v>
      </c>
      <c r="B6" t="s">
        <v>248</v>
      </c>
      <c r="C6" t="s">
        <v>238</v>
      </c>
      <c r="E6" t="s">
        <v>283</v>
      </c>
      <c r="F6" t="str">
        <f t="shared" si="0"/>
        <v>c</v>
      </c>
      <c r="G6" t="s">
        <v>257</v>
      </c>
      <c r="H6" t="str">
        <f t="shared" si="1"/>
        <v>c.[Title],</v>
      </c>
    </row>
    <row r="7" spans="1:8" x14ac:dyDescent="0.25">
      <c r="A7" t="s">
        <v>244</v>
      </c>
      <c r="B7" t="s">
        <v>249</v>
      </c>
      <c r="C7" t="s">
        <v>239</v>
      </c>
      <c r="E7" t="s">
        <v>283</v>
      </c>
      <c r="F7" t="str">
        <f t="shared" si="0"/>
        <v>c</v>
      </c>
      <c r="G7" t="s">
        <v>258</v>
      </c>
      <c r="H7" t="str">
        <f t="shared" si="1"/>
        <v>c.[First Name],</v>
      </c>
    </row>
    <row r="8" spans="1:8" x14ac:dyDescent="0.25">
      <c r="A8" t="s">
        <v>250</v>
      </c>
      <c r="B8" t="s">
        <v>251</v>
      </c>
      <c r="E8" t="s">
        <v>283</v>
      </c>
      <c r="F8" t="str">
        <f t="shared" si="0"/>
        <v>c</v>
      </c>
      <c r="G8" t="s">
        <v>259</v>
      </c>
      <c r="H8" t="str">
        <f t="shared" si="1"/>
        <v>c.[Middle Name],</v>
      </c>
    </row>
    <row r="9" spans="1:8" x14ac:dyDescent="0.25">
      <c r="A9" t="s">
        <v>283</v>
      </c>
      <c r="B9" t="s">
        <v>36</v>
      </c>
      <c r="C9" t="s">
        <v>284</v>
      </c>
      <c r="E9" t="s">
        <v>283</v>
      </c>
      <c r="F9" t="str">
        <f t="shared" si="0"/>
        <v>c</v>
      </c>
      <c r="G9" t="s">
        <v>260</v>
      </c>
      <c r="H9" t="str">
        <f t="shared" si="1"/>
        <v>c.[Last Name],</v>
      </c>
    </row>
    <row r="10" spans="1:8" x14ac:dyDescent="0.25">
      <c r="E10" t="s">
        <v>283</v>
      </c>
      <c r="F10" t="str">
        <f t="shared" si="0"/>
        <v>c</v>
      </c>
      <c r="G10" t="s">
        <v>261</v>
      </c>
      <c r="H10" t="str">
        <f t="shared" si="1"/>
        <v>c.[Name Style],</v>
      </c>
    </row>
    <row r="11" spans="1:8" x14ac:dyDescent="0.25">
      <c r="E11" t="s">
        <v>283</v>
      </c>
      <c r="F11" t="str">
        <f t="shared" si="0"/>
        <v>c</v>
      </c>
      <c r="G11" t="s">
        <v>262</v>
      </c>
      <c r="H11" t="str">
        <f t="shared" si="1"/>
        <v>c.[Birth Date],</v>
      </c>
    </row>
    <row r="12" spans="1:8" x14ac:dyDescent="0.25">
      <c r="E12" t="s">
        <v>283</v>
      </c>
      <c r="F12" t="str">
        <f t="shared" si="0"/>
        <v>c</v>
      </c>
      <c r="G12" t="s">
        <v>263</v>
      </c>
      <c r="H12" t="str">
        <f t="shared" si="1"/>
        <v>c.[Marital Status],</v>
      </c>
    </row>
    <row r="13" spans="1:8" x14ac:dyDescent="0.25">
      <c r="E13" t="s">
        <v>283</v>
      </c>
      <c r="F13" t="str">
        <f t="shared" si="0"/>
        <v>c</v>
      </c>
      <c r="G13" t="s">
        <v>264</v>
      </c>
      <c r="H13" t="str">
        <f t="shared" si="1"/>
        <v>c.[Suffix],</v>
      </c>
    </row>
    <row r="14" spans="1:8" x14ac:dyDescent="0.25">
      <c r="E14" t="s">
        <v>283</v>
      </c>
      <c r="F14" t="str">
        <f t="shared" si="0"/>
        <v>c</v>
      </c>
      <c r="G14" t="s">
        <v>265</v>
      </c>
      <c r="H14" t="str">
        <f t="shared" si="1"/>
        <v>c.[Gender],</v>
      </c>
    </row>
    <row r="15" spans="1:8" x14ac:dyDescent="0.25">
      <c r="E15" t="s">
        <v>283</v>
      </c>
      <c r="F15" t="str">
        <f t="shared" si="0"/>
        <v>c</v>
      </c>
      <c r="G15" t="s">
        <v>266</v>
      </c>
      <c r="H15" t="str">
        <f t="shared" si="1"/>
        <v>c.[Email Address],</v>
      </c>
    </row>
    <row r="16" spans="1:8" x14ac:dyDescent="0.25">
      <c r="E16" t="s">
        <v>283</v>
      </c>
      <c r="F16" t="str">
        <f t="shared" si="0"/>
        <v>c</v>
      </c>
      <c r="G16" t="s">
        <v>267</v>
      </c>
      <c r="H16" t="str">
        <f t="shared" si="1"/>
        <v>c.[Yearly Income],</v>
      </c>
    </row>
    <row r="17" spans="5:8" x14ac:dyDescent="0.25">
      <c r="E17" t="s">
        <v>283</v>
      </c>
      <c r="F17" t="str">
        <f t="shared" si="0"/>
        <v>c</v>
      </c>
      <c r="G17" t="s">
        <v>268</v>
      </c>
      <c r="H17" t="str">
        <f t="shared" si="1"/>
        <v>c.[Total Children],</v>
      </c>
    </row>
    <row r="18" spans="5:8" x14ac:dyDescent="0.25">
      <c r="E18" t="s">
        <v>283</v>
      </c>
      <c r="F18" t="str">
        <f t="shared" si="0"/>
        <v>c</v>
      </c>
      <c r="G18" t="s">
        <v>269</v>
      </c>
      <c r="H18" t="str">
        <f t="shared" si="1"/>
        <v>c.[Number Children At Home],</v>
      </c>
    </row>
    <row r="19" spans="5:8" x14ac:dyDescent="0.25">
      <c r="E19" t="s">
        <v>283</v>
      </c>
      <c r="F19" t="str">
        <f t="shared" si="0"/>
        <v>c</v>
      </c>
      <c r="G19" t="s">
        <v>270</v>
      </c>
      <c r="H19" t="str">
        <f t="shared" si="1"/>
        <v>c.[English Education],</v>
      </c>
    </row>
    <row r="20" spans="5:8" x14ac:dyDescent="0.25">
      <c r="E20" t="s">
        <v>283</v>
      </c>
      <c r="F20" t="str">
        <f t="shared" si="0"/>
        <v>c</v>
      </c>
      <c r="G20" t="s">
        <v>271</v>
      </c>
      <c r="H20" t="str">
        <f t="shared" si="1"/>
        <v>c.[Spanish Education],</v>
      </c>
    </row>
    <row r="21" spans="5:8" x14ac:dyDescent="0.25">
      <c r="E21" t="s">
        <v>283</v>
      </c>
      <c r="F21" t="str">
        <f t="shared" si="0"/>
        <v>c</v>
      </c>
      <c r="G21" t="s">
        <v>272</v>
      </c>
      <c r="H21" t="str">
        <f t="shared" si="1"/>
        <v>c.[French Education],</v>
      </c>
    </row>
    <row r="22" spans="5:8" x14ac:dyDescent="0.25">
      <c r="E22" t="s">
        <v>283</v>
      </c>
      <c r="F22" t="str">
        <f t="shared" si="0"/>
        <v>c</v>
      </c>
      <c r="G22" t="s">
        <v>273</v>
      </c>
      <c r="H22" t="str">
        <f t="shared" si="1"/>
        <v>c.[English Occupation],</v>
      </c>
    </row>
    <row r="23" spans="5:8" x14ac:dyDescent="0.25">
      <c r="E23" t="s">
        <v>283</v>
      </c>
      <c r="F23" t="str">
        <f t="shared" si="0"/>
        <v>c</v>
      </c>
      <c r="G23" t="s">
        <v>274</v>
      </c>
      <c r="H23" t="str">
        <f t="shared" si="1"/>
        <v>c.[Spanish Occupation],</v>
      </c>
    </row>
    <row r="24" spans="5:8" x14ac:dyDescent="0.25">
      <c r="E24" t="s">
        <v>283</v>
      </c>
      <c r="F24" t="str">
        <f t="shared" si="0"/>
        <v>c</v>
      </c>
      <c r="G24" t="s">
        <v>275</v>
      </c>
      <c r="H24" t="str">
        <f t="shared" si="1"/>
        <v>c.[French Occupation],</v>
      </c>
    </row>
    <row r="25" spans="5:8" x14ac:dyDescent="0.25">
      <c r="E25" t="s">
        <v>283</v>
      </c>
      <c r="F25" t="str">
        <f t="shared" si="0"/>
        <v>c</v>
      </c>
      <c r="G25" t="s">
        <v>276</v>
      </c>
      <c r="H25" t="str">
        <f t="shared" si="1"/>
        <v>c.[House Owner Flag],</v>
      </c>
    </row>
    <row r="26" spans="5:8" x14ac:dyDescent="0.25">
      <c r="E26" t="s">
        <v>283</v>
      </c>
      <c r="F26" t="str">
        <f t="shared" si="0"/>
        <v>c</v>
      </c>
      <c r="G26" t="s">
        <v>277</v>
      </c>
      <c r="H26" t="str">
        <f t="shared" si="1"/>
        <v>c.[Number Cars Owned],</v>
      </c>
    </row>
    <row r="27" spans="5:8" x14ac:dyDescent="0.25">
      <c r="E27" t="s">
        <v>283</v>
      </c>
      <c r="F27" t="str">
        <f t="shared" si="0"/>
        <v>c</v>
      </c>
      <c r="G27" t="s">
        <v>278</v>
      </c>
      <c r="H27" t="str">
        <f t="shared" si="1"/>
        <v>c.[Address Line1],</v>
      </c>
    </row>
    <row r="28" spans="5:8" x14ac:dyDescent="0.25">
      <c r="E28" t="s">
        <v>283</v>
      </c>
      <c r="F28" t="str">
        <f t="shared" si="0"/>
        <v>c</v>
      </c>
      <c r="G28" t="s">
        <v>279</v>
      </c>
      <c r="H28" t="str">
        <f t="shared" si="1"/>
        <v>c.[Address Line2],</v>
      </c>
    </row>
    <row r="29" spans="5:8" x14ac:dyDescent="0.25">
      <c r="E29" t="s">
        <v>283</v>
      </c>
      <c r="F29" t="str">
        <f t="shared" si="0"/>
        <v>c</v>
      </c>
      <c r="G29" t="s">
        <v>280</v>
      </c>
      <c r="H29" t="str">
        <f t="shared" si="1"/>
        <v>c.[Phone],</v>
      </c>
    </row>
    <row r="30" spans="5:8" x14ac:dyDescent="0.25">
      <c r="E30" t="s">
        <v>283</v>
      </c>
      <c r="F30" t="str">
        <f t="shared" si="0"/>
        <v>c</v>
      </c>
      <c r="G30" t="s">
        <v>281</v>
      </c>
      <c r="H30" t="str">
        <f t="shared" si="1"/>
        <v>c.[Date First Purchase],</v>
      </c>
    </row>
    <row r="31" spans="5:8" x14ac:dyDescent="0.25">
      <c r="E31" t="s">
        <v>283</v>
      </c>
      <c r="F31" t="str">
        <f t="shared" si="0"/>
        <v>c</v>
      </c>
      <c r="G31" t="s">
        <v>282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Todos</vt:lpstr>
      <vt:lpstr>Sample Data</vt:lpstr>
      <vt:lpstr>Column Notes</vt:lpstr>
      <vt:lpstr>Create Stage Table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Bob</cp:lastModifiedBy>
  <dcterms:created xsi:type="dcterms:W3CDTF">2015-06-05T18:17:20Z</dcterms:created>
  <dcterms:modified xsi:type="dcterms:W3CDTF">2018-06-30T00:53:40Z</dcterms:modified>
</cp:coreProperties>
</file>