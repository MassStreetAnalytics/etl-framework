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ob\Documents\Repos\etl-framework\"/>
    </mc:Choice>
  </mc:AlternateContent>
  <xr:revisionPtr revIDLastSave="0" documentId="13_ncr:1_{DD95898D-0B84-4F0E-BC5C-22BB8A5E1C00}" xr6:coauthVersionLast="41" xr6:coauthVersionMax="41" xr10:uidLastSave="{00000000-0000-0000-0000-000000000000}"/>
  <bookViews>
    <workbookView xWindow="-120" yWindow="-120" windowWidth="27360" windowHeight="16440" xr2:uid="{00000000-000D-0000-FFFF-FFFF00000000}"/>
  </bookViews>
  <sheets>
    <sheet name="Record Count" sheetId="17" r:id="rId1"/>
    <sheet name="Sample Data" sheetId="2" r:id="rId2"/>
    <sheet name="Column Notes" sheetId="1" r:id="rId3"/>
    <sheet name="Create Stage Table" sheetId="3" r:id="rId4"/>
    <sheet name="Char Length Analysis" sheetId="14" r:id="rId5"/>
    <sheet name="Column Cleansing Notes" sheetId="4" r:id="rId6"/>
    <sheet name="Source To Target Mapping" sheetId="6" r:id="rId7"/>
    <sheet name="Dimension List" sheetId="5" r:id="rId8"/>
    <sheet name="Fact Table Creation Helper" sheetId="8" r:id="rId9"/>
    <sheet name="Foreign Key Creation" sheetId="7" r:id="rId10"/>
    <sheet name="Process Fact Script Helper" sheetId="11" r:id="rId11"/>
    <sheet name="Indexed View Creation Helper" sheetId="15" r:id="rId12"/>
    <sheet name="Date Role Play View Helper" sheetId="16" r:id="rId13"/>
    <sheet name="Reporting View Creation Helper" sheetId="10" r:id="rId14"/>
    <sheet name="List Population Values" sheetId="18" r:id="rId15"/>
  </sheets>
  <functionGroups builtInGroupCount="19"/>
  <definedNames>
    <definedName name="_xlnm._FilterDatabase" localSheetId="2" hidden="1">'Column Notes'!$A$1:$F$12</definedName>
    <definedName name="_xlnm._FilterDatabase" localSheetId="6" hidden="1">'Source To Target Mapping'!$A$1:$E$12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" i="14" l="1"/>
  <c r="E3" i="14"/>
  <c r="E4" i="14"/>
  <c r="E5" i="14"/>
  <c r="E6" i="14"/>
  <c r="E7" i="14"/>
  <c r="E8" i="14"/>
  <c r="E9" i="14"/>
  <c r="E10" i="14"/>
  <c r="E11" i="14"/>
  <c r="E1" i="14"/>
  <c r="F4" i="10" l="1"/>
  <c r="H4" i="10" s="1"/>
  <c r="F5" i="10"/>
  <c r="H5" i="10" s="1"/>
  <c r="F6" i="10"/>
  <c r="H6" i="10" s="1"/>
  <c r="F7" i="10"/>
  <c r="H7" i="10" s="1"/>
  <c r="F8" i="10"/>
  <c r="H8" i="10" s="1"/>
  <c r="F9" i="10"/>
  <c r="H9" i="10" s="1"/>
  <c r="F10" i="10"/>
  <c r="H10" i="10" s="1"/>
  <c r="F11" i="10"/>
  <c r="H11" i="10" s="1"/>
  <c r="F12" i="10"/>
  <c r="H12" i="10" s="1"/>
  <c r="F13" i="10"/>
  <c r="H13" i="10" s="1"/>
  <c r="F14" i="10"/>
  <c r="H14" i="10" s="1"/>
  <c r="F15" i="10"/>
  <c r="H15" i="10" s="1"/>
  <c r="F16" i="10"/>
  <c r="H16" i="10" s="1"/>
  <c r="F17" i="10"/>
  <c r="H17" i="10" s="1"/>
  <c r="F18" i="10"/>
  <c r="H18" i="10" s="1"/>
  <c r="F19" i="10"/>
  <c r="H19" i="10" s="1"/>
  <c r="F20" i="10"/>
  <c r="H20" i="10" s="1"/>
  <c r="F21" i="10"/>
  <c r="H21" i="10" s="1"/>
  <c r="F22" i="10"/>
  <c r="H22" i="10" s="1"/>
  <c r="F23" i="10"/>
  <c r="H23" i="10" s="1"/>
  <c r="F24" i="10"/>
  <c r="H24" i="10" s="1"/>
  <c r="F25" i="10"/>
  <c r="H25" i="10" s="1"/>
  <c r="F26" i="10"/>
  <c r="H26" i="10" s="1"/>
  <c r="F27" i="10"/>
  <c r="H27" i="10" s="1"/>
  <c r="F28" i="10"/>
  <c r="H28" i="10" s="1"/>
  <c r="F29" i="10"/>
  <c r="H29" i="10" s="1"/>
  <c r="F30" i="10"/>
  <c r="H30" i="10" s="1"/>
  <c r="F31" i="10"/>
  <c r="H31" i="10" s="1"/>
  <c r="F3" i="10"/>
  <c r="H3" i="10" s="1"/>
  <c r="I4" i="11"/>
  <c r="I6" i="11"/>
  <c r="A4" i="11"/>
  <c r="B4" i="11"/>
  <c r="A5" i="11"/>
  <c r="I5" i="11" s="1"/>
  <c r="B5" i="11"/>
  <c r="D5" i="11"/>
  <c r="H5" i="11" s="1"/>
  <c r="A6" i="11"/>
  <c r="B6" i="11"/>
  <c r="D6" i="11"/>
  <c r="H6" i="11" s="1"/>
  <c r="B3" i="11"/>
  <c r="A3" i="11"/>
  <c r="I3" i="11" s="1"/>
  <c r="G4" i="5"/>
  <c r="D4" i="11" s="1"/>
  <c r="H4" i="11" s="1"/>
  <c r="G5" i="5"/>
  <c r="G6" i="5"/>
  <c r="G7" i="5"/>
  <c r="G3" i="5"/>
  <c r="D3" i="11" s="1"/>
  <c r="H3" i="11" s="1"/>
  <c r="F4" i="5"/>
  <c r="C4" i="11" s="1"/>
  <c r="F5" i="5"/>
  <c r="C5" i="11" s="1"/>
  <c r="F6" i="5"/>
  <c r="C6" i="11" s="1"/>
  <c r="F7" i="5"/>
  <c r="F3" i="5"/>
  <c r="C3" i="11" s="1"/>
  <c r="C4" i="7"/>
  <c r="D4" i="7"/>
  <c r="F4" i="7" s="1"/>
  <c r="H4" i="7" s="1"/>
  <c r="C5" i="7"/>
  <c r="E5" i="7" s="1"/>
  <c r="G5" i="7" s="1"/>
  <c r="D5" i="7"/>
  <c r="C6" i="7"/>
  <c r="D6" i="7"/>
  <c r="F6" i="7" s="1"/>
  <c r="H6" i="7" s="1"/>
  <c r="C7" i="7"/>
  <c r="D7" i="7"/>
  <c r="D4" i="5"/>
  <c r="D5" i="5"/>
  <c r="D6" i="5"/>
  <c r="D7" i="5"/>
  <c r="B4" i="5"/>
  <c r="B5" i="5"/>
  <c r="B6" i="5"/>
  <c r="B7" i="5"/>
  <c r="F7" i="7" s="1"/>
  <c r="H7" i="7" s="1"/>
  <c r="D3" i="5"/>
  <c r="B3" i="5"/>
  <c r="D3" i="7"/>
  <c r="F3" i="7" s="1"/>
  <c r="C3" i="7"/>
  <c r="E3" i="7" s="1"/>
  <c r="A4" i="8"/>
  <c r="A5" i="8"/>
  <c r="B5" i="8" s="1"/>
  <c r="A6" i="8"/>
  <c r="A7" i="8"/>
  <c r="A3" i="8"/>
  <c r="B3" i="8" s="1"/>
  <c r="B17" i="16"/>
  <c r="B14" i="16"/>
  <c r="B23" i="15"/>
  <c r="B19" i="15"/>
  <c r="B8" i="15"/>
  <c r="B20" i="16"/>
  <c r="B26" i="15"/>
  <c r="B22" i="15"/>
  <c r="B30" i="15"/>
  <c r="B11" i="15"/>
  <c r="B18" i="16"/>
  <c r="B16" i="16"/>
  <c r="B12" i="15"/>
  <c r="B21" i="15"/>
  <c r="B3" i="15"/>
  <c r="B4" i="15"/>
  <c r="B5" i="16"/>
  <c r="B15" i="15"/>
  <c r="B28" i="15"/>
  <c r="B6" i="16"/>
  <c r="B16" i="15"/>
  <c r="B6" i="15"/>
  <c r="B9" i="15"/>
  <c r="B11" i="16"/>
  <c r="B14" i="15"/>
  <c r="B13" i="16"/>
  <c r="B4" i="16"/>
  <c r="B13" i="15"/>
  <c r="B20" i="15"/>
  <c r="B25" i="15"/>
  <c r="B12" i="16"/>
  <c r="B31" i="15"/>
  <c r="B27" i="15"/>
  <c r="B7" i="16"/>
  <c r="B21" i="16"/>
  <c r="B10" i="16"/>
  <c r="B8" i="16"/>
  <c r="B19" i="16"/>
  <c r="B29" i="15"/>
  <c r="B9" i="16"/>
  <c r="B17" i="15"/>
  <c r="B24" i="15"/>
  <c r="B7" i="15"/>
  <c r="B3" i="16"/>
  <c r="B18" i="15"/>
  <c r="B15" i="16"/>
  <c r="B5" i="15"/>
  <c r="B10" i="15"/>
  <c r="E6" i="7" l="1"/>
  <c r="G6" i="7" s="1"/>
  <c r="B7" i="8"/>
  <c r="E7" i="8" s="1"/>
  <c r="E6" i="8"/>
  <c r="B6" i="8"/>
  <c r="B4" i="8"/>
  <c r="E4" i="8" s="1"/>
  <c r="E7" i="7"/>
  <c r="G7" i="7" s="1"/>
  <c r="I7" i="7" s="1"/>
  <c r="E4" i="7"/>
  <c r="G4" i="7" s="1"/>
  <c r="F5" i="7"/>
  <c r="H5" i="7" s="1"/>
  <c r="I5" i="7" s="1"/>
  <c r="C14" i="15"/>
  <c r="C15" i="15"/>
  <c r="D8" i="16"/>
  <c r="D16" i="16"/>
  <c r="C10" i="15"/>
  <c r="C7" i="15"/>
  <c r="D10" i="16"/>
  <c r="D18" i="16"/>
  <c r="D11" i="16"/>
  <c r="D5" i="16"/>
  <c r="D21" i="16"/>
  <c r="C11" i="15"/>
  <c r="C9" i="15"/>
  <c r="C24" i="15"/>
  <c r="D7" i="16"/>
  <c r="C30" i="15"/>
  <c r="C5" i="15"/>
  <c r="C4" i="15"/>
  <c r="C27" i="15"/>
  <c r="C22" i="15"/>
  <c r="C6" i="15"/>
  <c r="C17" i="15"/>
  <c r="C31" i="15"/>
  <c r="C26" i="15"/>
  <c r="C16" i="15"/>
  <c r="C3" i="15"/>
  <c r="D12" i="16"/>
  <c r="D20" i="16"/>
  <c r="D15" i="16"/>
  <c r="D9" i="16"/>
  <c r="C25" i="15"/>
  <c r="C8" i="15"/>
  <c r="D6" i="16"/>
  <c r="C21" i="15"/>
  <c r="C20" i="15"/>
  <c r="C19" i="15"/>
  <c r="C18" i="15"/>
  <c r="C29" i="15"/>
  <c r="C13" i="15"/>
  <c r="C23" i="15"/>
  <c r="C28" i="15"/>
  <c r="C12" i="15"/>
  <c r="D4" i="16"/>
  <c r="D14" i="16"/>
  <c r="D3" i="16"/>
  <c r="D19" i="16"/>
  <c r="D13" i="16"/>
  <c r="D17" i="16"/>
  <c r="G3" i="11"/>
  <c r="F3" i="11"/>
  <c r="F6" i="11"/>
  <c r="F5" i="11"/>
  <c r="F4" i="11"/>
  <c r="G6" i="11"/>
  <c r="G5" i="11"/>
  <c r="G4" i="11"/>
  <c r="I6" i="7"/>
  <c r="I4" i="7"/>
  <c r="E5" i="8"/>
  <c r="G7" i="8"/>
  <c r="I7" i="8" s="1"/>
  <c r="G6" i="8"/>
  <c r="I6" i="8" s="1"/>
  <c r="G5" i="8"/>
  <c r="I5" i="8" s="1"/>
  <c r="G4" i="8" l="1"/>
  <c r="I4" i="8" s="1"/>
  <c r="G3" i="7"/>
  <c r="H3" i="7" l="1"/>
  <c r="E6" i="11"/>
  <c r="E5" i="11"/>
  <c r="E4" i="11"/>
  <c r="E3" i="11"/>
  <c r="G3" i="8"/>
  <c r="I3" i="8" s="1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C1" i="3"/>
  <c r="I3" i="7" l="1"/>
  <c r="E3" i="8"/>
</calcChain>
</file>

<file path=xl/sharedStrings.xml><?xml version="1.0" encoding="utf-8"?>
<sst xmlns="http://schemas.openxmlformats.org/spreadsheetml/2006/main" count="6521" uniqueCount="322">
  <si>
    <t>column name</t>
  </si>
  <si>
    <t>data type</t>
  </si>
  <si>
    <t>table type</t>
  </si>
  <si>
    <t>Dimension Subtype</t>
  </si>
  <si>
    <t>Column Name</t>
  </si>
  <si>
    <t>Notes</t>
  </si>
  <si>
    <t>SourceSystemKey</t>
  </si>
  <si>
    <t>Dimension</t>
  </si>
  <si>
    <t>Just drop column names into column A.</t>
  </si>
  <si>
    <t>Cleansing Notes</t>
  </si>
  <si>
    <t>RowHash</t>
  </si>
  <si>
    <t>Source Table</t>
  </si>
  <si>
    <t>Source Column</t>
  </si>
  <si>
    <t>Destination Table</t>
  </si>
  <si>
    <t>Destination Column</t>
  </si>
  <si>
    <t>Logical Dimension Name</t>
  </si>
  <si>
    <t>Physical Dimension Name</t>
  </si>
  <si>
    <t>Fact Key Columns</t>
  </si>
  <si>
    <t>Dimension Key Columns</t>
  </si>
  <si>
    <t>First Part</t>
  </si>
  <si>
    <t>Second Part</t>
  </si>
  <si>
    <t>Final Product</t>
  </si>
  <si>
    <t>`</t>
  </si>
  <si>
    <t>Remember to run with begin/commit transaction</t>
  </si>
  <si>
    <t>Dims</t>
  </si>
  <si>
    <t>PKs</t>
  </si>
  <si>
    <t>BIGINT</t>
  </si>
  <si>
    <t>NOT NULL,</t>
  </si>
  <si>
    <t>CONVERT([nvarchar](35),</t>
  </si>
  <si>
    <t>),</t>
  </si>
  <si>
    <t>Unique Dims Calculation</t>
  </si>
  <si>
    <t>FKs</t>
  </si>
  <si>
    <t>Currency</t>
  </si>
  <si>
    <t>Table Name</t>
  </si>
  <si>
    <t>Table Alias</t>
  </si>
  <si>
    <t>View Column</t>
  </si>
  <si>
    <t>c</t>
  </si>
  <si>
    <t>NVARCHAR(50)</t>
  </si>
  <si>
    <t>NVARCHAR(255) NULL,</t>
  </si>
  <si>
    <t>Fact Table Name</t>
  </si>
  <si>
    <t>Suffix</t>
  </si>
  <si>
    <t>DimDate</t>
  </si>
  <si>
    <t>DateCK</t>
  </si>
  <si>
    <t>Schema</t>
  </si>
  <si>
    <t>DateKey</t>
  </si>
  <si>
    <t>OrganizationKey</t>
  </si>
  <si>
    <t>OrganizationName</t>
  </si>
  <si>
    <t>DepartmentGroupKey</t>
  </si>
  <si>
    <t>DepartmentGroupName</t>
  </si>
  <si>
    <t>ScenarioKey</t>
  </si>
  <si>
    <t>ScenarioName</t>
  </si>
  <si>
    <t>AccountDescription</t>
  </si>
  <si>
    <t>AccountType</t>
  </si>
  <si>
    <t>ValueType</t>
  </si>
  <si>
    <t>Amount</t>
  </si>
  <si>
    <t>Northeast Division</t>
  </si>
  <si>
    <t>Corporate</t>
  </si>
  <si>
    <t>Actual</t>
  </si>
  <si>
    <t>Salaries</t>
  </si>
  <si>
    <t>Expenditures</t>
  </si>
  <si>
    <t>Budget</t>
  </si>
  <si>
    <t>Payroll Taxes</t>
  </si>
  <si>
    <t>Employee Benefits</t>
  </si>
  <si>
    <t>Travel Transportation</t>
  </si>
  <si>
    <t>Travel Lodging</t>
  </si>
  <si>
    <t>Meals</t>
  </si>
  <si>
    <t>Entertainment</t>
  </si>
  <si>
    <t>Other Travel Related</t>
  </si>
  <si>
    <t>Conferences</t>
  </si>
  <si>
    <t>Office Supplies</t>
  </si>
  <si>
    <t>Professional Services</t>
  </si>
  <si>
    <t>Telephone</t>
  </si>
  <si>
    <t>Utilities</t>
  </si>
  <si>
    <t>Other Expenses</t>
  </si>
  <si>
    <t>Building Leasehold</t>
  </si>
  <si>
    <t>Vehicles</t>
  </si>
  <si>
    <t>Equipment</t>
  </si>
  <si>
    <t>Furniture and Fixtures</t>
  </si>
  <si>
    <t>Other Assets</t>
  </si>
  <si>
    <t>Amortization of Goodwill</t>
  </si>
  <si>
    <t>Rent</t>
  </si>
  <si>
    <t>Interest Income</t>
  </si>
  <si>
    <t>Revenue</t>
  </si>
  <si>
    <t>Interest Expense</t>
  </si>
  <si>
    <t>Gain/Loss on Sales of Asset</t>
  </si>
  <si>
    <t>Other Income</t>
  </si>
  <si>
    <t>Taxes</t>
  </si>
  <si>
    <t>Headcount</t>
  </si>
  <si>
    <t>Balances</t>
  </si>
  <si>
    <t>Units</t>
  </si>
  <si>
    <t>Executive General and Administration</t>
  </si>
  <si>
    <t>Finished Goods</t>
  </si>
  <si>
    <t>Assets</t>
  </si>
  <si>
    <t>Research and Development</t>
  </si>
  <si>
    <t>Intercompany Sales</t>
  </si>
  <si>
    <t>Returns and Adjustments</t>
  </si>
  <si>
    <t>Standard Cost of Sales</t>
  </si>
  <si>
    <t>Variances</t>
  </si>
  <si>
    <t>Commissions</t>
  </si>
  <si>
    <t>Marketing Collateral</t>
  </si>
  <si>
    <t>Flow</t>
  </si>
  <si>
    <t>Square Footage</t>
  </si>
  <si>
    <t>Trade Sales</t>
  </si>
  <si>
    <t>Sales and Marketing</t>
  </si>
  <si>
    <t>Cash</t>
  </si>
  <si>
    <t>Trade Receivables</t>
  </si>
  <si>
    <t>Other Receivables</t>
  </si>
  <si>
    <t>Allowance for Bad Debt</t>
  </si>
  <si>
    <t>Deferred Taxes</t>
  </si>
  <si>
    <t>Prepaid Expenses</t>
  </si>
  <si>
    <t>Intercompany Receivables</t>
  </si>
  <si>
    <t>Land &amp; Improvements</t>
  </si>
  <si>
    <t>Buildings &amp; Improvements</t>
  </si>
  <si>
    <t>Machinery &amp; Equipment</t>
  </si>
  <si>
    <t>Office Furniture &amp; Equipment</t>
  </si>
  <si>
    <t>Leasehold Improvements</t>
  </si>
  <si>
    <t>Construction In Progress</t>
  </si>
  <si>
    <t>Notes Payable</t>
  </si>
  <si>
    <t>Liabilities</t>
  </si>
  <si>
    <t>Accounts Payable</t>
  </si>
  <si>
    <t>Salary &amp; Other Comp</t>
  </si>
  <si>
    <t>Insurance</t>
  </si>
  <si>
    <t>Warranties</t>
  </si>
  <si>
    <t>Intercompany Payables</t>
  </si>
  <si>
    <t>Other Current Liabilities</t>
  </si>
  <si>
    <t>Long Term Obligations</t>
  </si>
  <si>
    <t>Pension Liability</t>
  </si>
  <si>
    <t>Other Retirement Benefits</t>
  </si>
  <si>
    <t>Other Long Term Liabilities</t>
  </si>
  <si>
    <t>Partner Capital</t>
  </si>
  <si>
    <t>Additional Paid In Capital</t>
  </si>
  <si>
    <t>Prior Year Retained Earnings</t>
  </si>
  <si>
    <t>Current Retained Earnings</t>
  </si>
  <si>
    <t>Current Installments of Long-term Debt</t>
  </si>
  <si>
    <t>Northwest Division</t>
  </si>
  <si>
    <t>Central Division</t>
  </si>
  <si>
    <t>Southeast Division</t>
  </si>
  <si>
    <t>Inventory Management</t>
  </si>
  <si>
    <t>Raw Materials</t>
  </si>
  <si>
    <t>Work in Process</t>
  </si>
  <si>
    <t>Manufacturing</t>
  </si>
  <si>
    <t>Quality Assurance</t>
  </si>
  <si>
    <t>Southwest Division</t>
  </si>
  <si>
    <t>Canadian Division</t>
  </si>
  <si>
    <t>DATE</t>
  </si>
  <si>
    <t>INT</t>
  </si>
  <si>
    <t>NVARCHAR(100)</t>
  </si>
  <si>
    <t>MONEY</t>
  </si>
  <si>
    <t>Fact</t>
  </si>
  <si>
    <t>Junk</t>
  </si>
  <si>
    <t>FactRevenue</t>
  </si>
  <si>
    <t>DimOrganization</t>
  </si>
  <si>
    <t>DimDepartment</t>
  </si>
  <si>
    <t>DimScenario</t>
  </si>
  <si>
    <t>DimAccount</t>
  </si>
  <si>
    <t xml:space="preserve">DimScenario </t>
  </si>
  <si>
    <t>Source System key</t>
  </si>
  <si>
    <t>Source System Key</t>
  </si>
  <si>
    <t>Insert list of physical dimensions and how you identify unique rows</t>
  </si>
  <si>
    <t xml:space="preserve">Unique Row Identifier </t>
  </si>
  <si>
    <t>RevenueData</t>
  </si>
  <si>
    <t>FullDateAlternateKey</t>
  </si>
  <si>
    <t>Convert to proper date format</t>
  </si>
  <si>
    <t>Role Play</t>
  </si>
  <si>
    <t>Logical Dimension name</t>
  </si>
  <si>
    <t>DimTransactionDate</t>
  </si>
  <si>
    <t>dbo</t>
  </si>
  <si>
    <t>Physical Dimension Key Column</t>
  </si>
  <si>
    <t>Logical Dimension Key Column</t>
  </si>
  <si>
    <t>Workbook should fully populate. Just drag down A3 to as many dimensions as you need.</t>
  </si>
  <si>
    <t>Row Identifier Data Type</t>
  </si>
  <si>
    <t>Dimension Number</t>
  </si>
  <si>
    <t>Physical Dimension Less DimDate</t>
  </si>
  <si>
    <t>Drag down A3 - D3 for as many dimensions you have except for DimDate</t>
  </si>
  <si>
    <t>Drop Temp Tables If Exist</t>
  </si>
  <si>
    <t>Create Temp Table</t>
  </si>
  <si>
    <t>Create Clustered Indexes</t>
  </si>
  <si>
    <t>Create Non Clustered Indexes</t>
  </si>
  <si>
    <t>Drop Table</t>
  </si>
  <si>
    <t>Physical Columns</t>
  </si>
  <si>
    <t>View Columns</t>
  </si>
  <si>
    <t>Drop Columns Into Column A</t>
  </si>
  <si>
    <t>CustomerKey</t>
  </si>
  <si>
    <t>GeographyKey</t>
  </si>
  <si>
    <t>CustomerAlternateKey</t>
  </si>
  <si>
    <t>Title</t>
  </si>
  <si>
    <t>FirstName</t>
  </si>
  <si>
    <t>MiddleName</t>
  </si>
  <si>
    <t>LastName</t>
  </si>
  <si>
    <t>NameStyle</t>
  </si>
  <si>
    <t>BirthDate</t>
  </si>
  <si>
    <t>MaritalStatus</t>
  </si>
  <si>
    <t>Gender</t>
  </si>
  <si>
    <t>EmailAddress</t>
  </si>
  <si>
    <t>YearlyIncome</t>
  </si>
  <si>
    <t>TotalChildren</t>
  </si>
  <si>
    <t>NumberChildrenAtHome</t>
  </si>
  <si>
    <t>EnglishEducation</t>
  </si>
  <si>
    <t>SpanishEducation</t>
  </si>
  <si>
    <t>FrenchEducation</t>
  </si>
  <si>
    <t>EnglishOccupation</t>
  </si>
  <si>
    <t>SpanishOccupation</t>
  </si>
  <si>
    <t>FrenchOccupation</t>
  </si>
  <si>
    <t>HouseOwnerFlag</t>
  </si>
  <si>
    <t>NumberCarsOwned</t>
  </si>
  <si>
    <t>AddressLine1</t>
  </si>
  <si>
    <t>AddressLine2</t>
  </si>
  <si>
    <t>Phone</t>
  </si>
  <si>
    <t>DateFirstPurchase</t>
  </si>
  <si>
    <t>CommuteDistance</t>
  </si>
  <si>
    <t>This works if you use camel casing</t>
  </si>
  <si>
    <t>Final Result</t>
  </si>
  <si>
    <t>DayNumberOfWeek</t>
  </si>
  <si>
    <t>EnglishDayNameOfWeek</t>
  </si>
  <si>
    <t>SpanishDayNameOfWeek</t>
  </si>
  <si>
    <t>FrenchDayNameOfWeek</t>
  </si>
  <si>
    <t>DayNumberOfMonth</t>
  </si>
  <si>
    <t>DayNumberOfYear</t>
  </si>
  <si>
    <t>WeekNumberOfYear</t>
  </si>
  <si>
    <t>EnglishMonthName</t>
  </si>
  <si>
    <t>SpanishMonthName</t>
  </si>
  <si>
    <t>FrenchMonthName</t>
  </si>
  <si>
    <t>MonthNumberOfYear</t>
  </si>
  <si>
    <t>CalendarQuarter</t>
  </si>
  <si>
    <t>CalendarYear</t>
  </si>
  <si>
    <t>CalendarSemester</t>
  </si>
  <si>
    <t>FiscalQuarter</t>
  </si>
  <si>
    <t>FiscalYear</t>
  </si>
  <si>
    <t>FiscalSemester</t>
  </si>
  <si>
    <t>Transaction Date</t>
  </si>
  <si>
    <t>Role Play Dimension Name (with spaces)</t>
  </si>
  <si>
    <t>View Name</t>
  </si>
  <si>
    <t>View Alias</t>
  </si>
  <si>
    <t>View Primary Key</t>
  </si>
  <si>
    <t>[Organization CK]</t>
  </si>
  <si>
    <t>[Department CK]</t>
  </si>
  <si>
    <t>[Scenario CK]</t>
  </si>
  <si>
    <t>[Account CK]</t>
  </si>
  <si>
    <t>[Transaction Date CK]</t>
  </si>
  <si>
    <t>[Organization]</t>
  </si>
  <si>
    <t>[Department]</t>
  </si>
  <si>
    <t>[Scenario]</t>
  </si>
  <si>
    <t>[Account]</t>
  </si>
  <si>
    <t>[Transaction Date]</t>
  </si>
  <si>
    <t>o</t>
  </si>
  <si>
    <t>d</t>
  </si>
  <si>
    <t>s</t>
  </si>
  <si>
    <t>a</t>
  </si>
  <si>
    <t>td</t>
  </si>
  <si>
    <t>[Revenue]</t>
  </si>
  <si>
    <t>r</t>
  </si>
  <si>
    <t>Views Involved</t>
  </si>
  <si>
    <t>Select Statement. Populate View Column Then View Name. Everything else fills in.</t>
  </si>
  <si>
    <t>[Customer Key]</t>
  </si>
  <si>
    <t>[Geography Key]</t>
  </si>
  <si>
    <t>[Customer Alternate Key]</t>
  </si>
  <si>
    <t>[Title]</t>
  </si>
  <si>
    <t>[First Name]</t>
  </si>
  <si>
    <t>[Middle Name]</t>
  </si>
  <si>
    <t>[Last Name]</t>
  </si>
  <si>
    <t>[Name Style]</t>
  </si>
  <si>
    <t>[Birth Date]</t>
  </si>
  <si>
    <t>[Marital Status]</t>
  </si>
  <si>
    <t>[Suffix]</t>
  </si>
  <si>
    <t>[Gender]</t>
  </si>
  <si>
    <t>[Email Address]</t>
  </si>
  <si>
    <t>[Yearly Income]</t>
  </si>
  <si>
    <t>[Total Children]</t>
  </si>
  <si>
    <t>[Number Children At Home]</t>
  </si>
  <si>
    <t>[English Education]</t>
  </si>
  <si>
    <t>[Spanish Education]</t>
  </si>
  <si>
    <t>[French Education]</t>
  </si>
  <si>
    <t>[English Occupation]</t>
  </si>
  <si>
    <t>[Spanish Occupation]</t>
  </si>
  <si>
    <t>[French Occupation]</t>
  </si>
  <si>
    <t>[House Owner Flag]</t>
  </si>
  <si>
    <t>[Number Cars Owned]</t>
  </si>
  <si>
    <t>[Address Line1]</t>
  </si>
  <si>
    <t>[Address Line2]</t>
  </si>
  <si>
    <t>[Phone]</t>
  </si>
  <si>
    <t>[Date First Purchase]</t>
  </si>
  <si>
    <t>[Commute Distance]</t>
  </si>
  <si>
    <t>[Customer]</t>
  </si>
  <si>
    <t>[Customer CK]</t>
  </si>
  <si>
    <t>The following are artifacts of AddSpaces() and need to be manually adjusted.</t>
  </si>
  <si>
    <t>Find</t>
  </si>
  <si>
    <t>And Replace With</t>
  </si>
  <si>
    <t>Date Date</t>
  </si>
  <si>
    <t>Date</t>
  </si>
  <si>
    <t>C K</t>
  </si>
  <si>
    <t>CK</t>
  </si>
  <si>
    <t>ISO</t>
  </si>
  <si>
    <t>MMYYYY</t>
  </si>
  <si>
    <t>Y Y Y Y M M</t>
  </si>
  <si>
    <t>M M Y Y Y Y</t>
  </si>
  <si>
    <t>I S O</t>
  </si>
  <si>
    <t>YYYYMM</t>
  </si>
  <si>
    <t>MAX(LEN(</t>
  </si>
  <si>
    <t>)) AS MaxLengthOf_</t>
  </si>
  <si>
    <t>,</t>
  </si>
  <si>
    <t>DECLARANT</t>
  </si>
  <si>
    <t>Scenario</t>
  </si>
  <si>
    <t>Frequency</t>
  </si>
  <si>
    <t>Record Count</t>
  </si>
  <si>
    <t>Processing Paradigm</t>
  </si>
  <si>
    <t>Processing Paradigms</t>
  </si>
  <si>
    <t>Batch</t>
  </si>
  <si>
    <t>Stream</t>
  </si>
  <si>
    <t>Micro Batch</t>
  </si>
  <si>
    <t>From Database</t>
  </si>
  <si>
    <t>From File</t>
  </si>
  <si>
    <t>Scenarios</t>
  </si>
  <si>
    <t>data types</t>
  </si>
  <si>
    <t>NVARCHAR(1)</t>
  </si>
  <si>
    <t>NVARCHAR(3)</t>
  </si>
  <si>
    <t>NVARCHAR(10)</t>
  </si>
  <si>
    <t>NVARCHAR(20)</t>
  </si>
  <si>
    <t>NVARCHAR(255)</t>
  </si>
  <si>
    <t>NVARCHAR(MAX)</t>
  </si>
  <si>
    <t>TINYINT</t>
  </si>
  <si>
    <t>NUMERIC(16,4)</t>
  </si>
  <si>
    <t>DATETIME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</si>
</sst>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14" fontId="0" fillId="0" borderId="0" xfId="0" applyNumberFormat="1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22F43-05F3-4F4E-AE38-0519577A79B6}">
  <sheetPr>
    <tabColor rgb="FFFFFF00"/>
  </sheetPr>
  <dimension ref="A1:U4"/>
  <sheetViews>
    <sheetView tabSelected="1" workbookViewId="0">
      <selection activeCell="G14" sqref="G14"/>
    </sheetView>
  </sheetViews>
  <sheetFormatPr defaultRowHeight="15" x14ac:dyDescent="0.25"/>
  <cols>
    <col min="1" max="1" width="19.85546875" customWidth="1"/>
    <col min="2" max="2" width="19.42578125" bestFit="1" customWidth="1"/>
    <col min="3" max="3" width="10.28515625" bestFit="1" customWidth="1"/>
    <col min="4" max="4" width="12.85546875" bestFit="1" customWidth="1"/>
    <col min="20" max="20" width="14.28515625" bestFit="1" customWidth="1"/>
    <col min="21" max="21" width="20.28515625" bestFit="1" customWidth="1"/>
  </cols>
  <sheetData>
    <row r="1" spans="1:21" x14ac:dyDescent="0.25">
      <c r="A1" s="1" t="s">
        <v>301</v>
      </c>
      <c r="B1" s="1" t="s">
        <v>304</v>
      </c>
      <c r="C1" s="1" t="s">
        <v>302</v>
      </c>
      <c r="D1" s="1" t="s">
        <v>303</v>
      </c>
      <c r="T1" t="s">
        <v>311</v>
      </c>
      <c r="U1" t="s">
        <v>305</v>
      </c>
    </row>
    <row r="2" spans="1:21" x14ac:dyDescent="0.25">
      <c r="T2" t="s">
        <v>309</v>
      </c>
      <c r="U2" t="s">
        <v>306</v>
      </c>
    </row>
    <row r="3" spans="1:21" x14ac:dyDescent="0.25">
      <c r="T3" t="s">
        <v>310</v>
      </c>
      <c r="U3" t="s">
        <v>307</v>
      </c>
    </row>
    <row r="4" spans="1:21" x14ac:dyDescent="0.25">
      <c r="U4" t="s">
        <v>308</v>
      </c>
    </row>
  </sheetData>
  <dataValidations count="2">
    <dataValidation type="list" allowBlank="1" showInputMessage="1" showErrorMessage="1" sqref="A2:A30" xr:uid="{2ABE5958-B6EC-449D-8308-ADA4F27691CF}">
      <formula1>$T$2:$T$3</formula1>
    </dataValidation>
    <dataValidation type="list" allowBlank="1" showInputMessage="1" showErrorMessage="1" sqref="B2:B25" xr:uid="{B913305A-1EC7-476B-93FF-5E81388C9685}">
      <formula1>$U$2:$U$4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K1001"/>
  <sheetViews>
    <sheetView workbookViewId="0"/>
  </sheetViews>
  <sheetFormatPr defaultRowHeight="15" x14ac:dyDescent="0.25"/>
  <cols>
    <col min="1" max="1" width="20.42578125" bestFit="1" customWidth="1"/>
    <col min="2" max="2" width="15.7109375" bestFit="1" customWidth="1"/>
    <col min="3" max="3" width="18.28515625" bestFit="1" customWidth="1"/>
    <col min="4" max="4" width="20.7109375" bestFit="1" customWidth="1"/>
    <col min="5" max="5" width="35.28515625" bestFit="1" customWidth="1"/>
    <col min="6" max="6" width="11.85546875" bestFit="1" customWidth="1"/>
    <col min="7" max="7" width="14" bestFit="1" customWidth="1"/>
    <col min="8" max="8" width="36.5703125" bestFit="1" customWidth="1"/>
    <col min="9" max="9" width="12.7109375" bestFit="1" customWidth="1"/>
    <col min="10" max="10" width="10.42578125" bestFit="1" customWidth="1"/>
    <col min="11" max="11" width="9.7109375" bestFit="1" customWidth="1"/>
    <col min="12" max="12" width="12.140625" bestFit="1" customWidth="1"/>
    <col min="13" max="13" width="12" bestFit="1" customWidth="1"/>
    <col min="14" max="14" width="2.7109375" bestFit="1" customWidth="1"/>
    <col min="15" max="15" width="18.85546875" bestFit="1" customWidth="1"/>
  </cols>
  <sheetData>
    <row r="1" spans="1:11" x14ac:dyDescent="0.25">
      <c r="A1" t="s">
        <v>161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</row>
    <row r="2" spans="1:11" x14ac:dyDescent="0.25">
      <c r="A2" s="2">
        <v>38534</v>
      </c>
      <c r="B2">
        <v>3</v>
      </c>
      <c r="C2" t="s">
        <v>55</v>
      </c>
      <c r="D2">
        <v>1</v>
      </c>
      <c r="E2" t="s">
        <v>56</v>
      </c>
      <c r="F2">
        <v>1</v>
      </c>
      <c r="G2" t="s">
        <v>57</v>
      </c>
      <c r="H2" t="s">
        <v>58</v>
      </c>
      <c r="I2" t="s">
        <v>59</v>
      </c>
      <c r="J2" t="s">
        <v>32</v>
      </c>
      <c r="K2">
        <v>22080</v>
      </c>
    </row>
    <row r="3" spans="1:11" x14ac:dyDescent="0.25">
      <c r="A3" s="2">
        <v>38534</v>
      </c>
      <c r="B3">
        <v>3</v>
      </c>
      <c r="C3" t="s">
        <v>55</v>
      </c>
      <c r="D3">
        <v>1</v>
      </c>
      <c r="E3" t="s">
        <v>56</v>
      </c>
      <c r="F3">
        <v>2</v>
      </c>
      <c r="G3" t="s">
        <v>60</v>
      </c>
      <c r="H3" t="s">
        <v>58</v>
      </c>
      <c r="I3" t="s">
        <v>59</v>
      </c>
      <c r="J3" t="s">
        <v>32</v>
      </c>
      <c r="K3">
        <v>20200</v>
      </c>
    </row>
    <row r="4" spans="1:11" x14ac:dyDescent="0.25">
      <c r="A4" s="2">
        <v>38534</v>
      </c>
      <c r="B4">
        <v>3</v>
      </c>
      <c r="C4" t="s">
        <v>55</v>
      </c>
      <c r="D4">
        <v>1</v>
      </c>
      <c r="E4" t="s">
        <v>56</v>
      </c>
      <c r="F4">
        <v>2</v>
      </c>
      <c r="G4" t="s">
        <v>60</v>
      </c>
      <c r="H4" t="s">
        <v>61</v>
      </c>
      <c r="I4" t="s">
        <v>59</v>
      </c>
      <c r="J4" t="s">
        <v>32</v>
      </c>
      <c r="K4">
        <v>2000</v>
      </c>
    </row>
    <row r="5" spans="1:11" x14ac:dyDescent="0.25">
      <c r="A5" s="2">
        <v>38534</v>
      </c>
      <c r="B5">
        <v>3</v>
      </c>
      <c r="C5" t="s">
        <v>55</v>
      </c>
      <c r="D5">
        <v>1</v>
      </c>
      <c r="E5" t="s">
        <v>56</v>
      </c>
      <c r="F5">
        <v>1</v>
      </c>
      <c r="G5" t="s">
        <v>57</v>
      </c>
      <c r="H5" t="s">
        <v>61</v>
      </c>
      <c r="I5" t="s">
        <v>59</v>
      </c>
      <c r="J5" t="s">
        <v>32</v>
      </c>
      <c r="K5">
        <v>2208</v>
      </c>
    </row>
    <row r="6" spans="1:11" x14ac:dyDescent="0.25">
      <c r="A6" s="2">
        <v>38534</v>
      </c>
      <c r="B6">
        <v>3</v>
      </c>
      <c r="C6" t="s">
        <v>55</v>
      </c>
      <c r="D6">
        <v>1</v>
      </c>
      <c r="E6" t="s">
        <v>56</v>
      </c>
      <c r="F6">
        <v>1</v>
      </c>
      <c r="G6" t="s">
        <v>57</v>
      </c>
      <c r="H6" t="s">
        <v>62</v>
      </c>
      <c r="I6" t="s">
        <v>59</v>
      </c>
      <c r="J6" t="s">
        <v>32</v>
      </c>
      <c r="K6">
        <v>1546</v>
      </c>
    </row>
    <row r="7" spans="1:11" x14ac:dyDescent="0.25">
      <c r="A7" s="2">
        <v>38534</v>
      </c>
      <c r="B7">
        <v>3</v>
      </c>
      <c r="C7" t="s">
        <v>55</v>
      </c>
      <c r="D7">
        <v>1</v>
      </c>
      <c r="E7" t="s">
        <v>56</v>
      </c>
      <c r="F7">
        <v>2</v>
      </c>
      <c r="G7" t="s">
        <v>60</v>
      </c>
      <c r="H7" t="s">
        <v>62</v>
      </c>
      <c r="I7" t="s">
        <v>59</v>
      </c>
      <c r="J7" t="s">
        <v>32</v>
      </c>
      <c r="K7">
        <v>1800</v>
      </c>
    </row>
    <row r="8" spans="1:11" x14ac:dyDescent="0.25">
      <c r="A8" s="2">
        <v>38534</v>
      </c>
      <c r="B8">
        <v>3</v>
      </c>
      <c r="C8" t="s">
        <v>55</v>
      </c>
      <c r="D8">
        <v>1</v>
      </c>
      <c r="E8" t="s">
        <v>56</v>
      </c>
      <c r="F8">
        <v>2</v>
      </c>
      <c r="G8" t="s">
        <v>60</v>
      </c>
      <c r="H8" t="s">
        <v>63</v>
      </c>
      <c r="I8" t="s">
        <v>59</v>
      </c>
      <c r="J8" t="s">
        <v>32</v>
      </c>
      <c r="K8">
        <v>380</v>
      </c>
    </row>
    <row r="9" spans="1:11" x14ac:dyDescent="0.25">
      <c r="A9" s="2">
        <v>38534</v>
      </c>
      <c r="B9">
        <v>3</v>
      </c>
      <c r="C9" t="s">
        <v>55</v>
      </c>
      <c r="D9">
        <v>1</v>
      </c>
      <c r="E9" t="s">
        <v>56</v>
      </c>
      <c r="F9">
        <v>1</v>
      </c>
      <c r="G9" t="s">
        <v>57</v>
      </c>
      <c r="H9" t="s">
        <v>63</v>
      </c>
      <c r="I9" t="s">
        <v>59</v>
      </c>
      <c r="J9" t="s">
        <v>32</v>
      </c>
      <c r="K9">
        <v>378</v>
      </c>
    </row>
    <row r="10" spans="1:11" x14ac:dyDescent="0.25">
      <c r="A10" s="2">
        <v>38534</v>
      </c>
      <c r="B10">
        <v>3</v>
      </c>
      <c r="C10" t="s">
        <v>55</v>
      </c>
      <c r="D10">
        <v>1</v>
      </c>
      <c r="E10" t="s">
        <v>56</v>
      </c>
      <c r="F10">
        <v>1</v>
      </c>
      <c r="G10" t="s">
        <v>57</v>
      </c>
      <c r="H10" t="s">
        <v>64</v>
      </c>
      <c r="I10" t="s">
        <v>59</v>
      </c>
      <c r="J10" t="s">
        <v>32</v>
      </c>
      <c r="K10">
        <v>344</v>
      </c>
    </row>
    <row r="11" spans="1:11" x14ac:dyDescent="0.25">
      <c r="A11" s="2">
        <v>38534</v>
      </c>
      <c r="B11">
        <v>3</v>
      </c>
      <c r="C11" t="s">
        <v>55</v>
      </c>
      <c r="D11">
        <v>1</v>
      </c>
      <c r="E11" t="s">
        <v>56</v>
      </c>
      <c r="F11">
        <v>2</v>
      </c>
      <c r="G11" t="s">
        <v>60</v>
      </c>
      <c r="H11" t="s">
        <v>64</v>
      </c>
      <c r="I11" t="s">
        <v>59</v>
      </c>
      <c r="J11" t="s">
        <v>32</v>
      </c>
      <c r="K11">
        <v>380</v>
      </c>
    </row>
    <row r="12" spans="1:11" x14ac:dyDescent="0.25">
      <c r="A12" s="2">
        <v>38534</v>
      </c>
      <c r="B12">
        <v>3</v>
      </c>
      <c r="C12" t="s">
        <v>55</v>
      </c>
      <c r="D12">
        <v>1</v>
      </c>
      <c r="E12" t="s">
        <v>56</v>
      </c>
      <c r="F12">
        <v>2</v>
      </c>
      <c r="G12" t="s">
        <v>60</v>
      </c>
      <c r="H12" t="s">
        <v>65</v>
      </c>
      <c r="I12" t="s">
        <v>59</v>
      </c>
      <c r="J12" t="s">
        <v>32</v>
      </c>
      <c r="K12">
        <v>200</v>
      </c>
    </row>
    <row r="13" spans="1:11" x14ac:dyDescent="0.25">
      <c r="A13" s="2">
        <v>38534</v>
      </c>
      <c r="B13">
        <v>3</v>
      </c>
      <c r="C13" t="s">
        <v>55</v>
      </c>
      <c r="D13">
        <v>1</v>
      </c>
      <c r="E13" t="s">
        <v>56</v>
      </c>
      <c r="F13">
        <v>1</v>
      </c>
      <c r="G13" t="s">
        <v>57</v>
      </c>
      <c r="H13" t="s">
        <v>65</v>
      </c>
      <c r="I13" t="s">
        <v>59</v>
      </c>
      <c r="J13" t="s">
        <v>32</v>
      </c>
      <c r="K13">
        <v>174</v>
      </c>
    </row>
    <row r="14" spans="1:11" x14ac:dyDescent="0.25">
      <c r="A14" s="2">
        <v>38534</v>
      </c>
      <c r="B14">
        <v>3</v>
      </c>
      <c r="C14" t="s">
        <v>55</v>
      </c>
      <c r="D14">
        <v>1</v>
      </c>
      <c r="E14" t="s">
        <v>56</v>
      </c>
      <c r="F14">
        <v>1</v>
      </c>
      <c r="G14" t="s">
        <v>57</v>
      </c>
      <c r="H14" t="s">
        <v>66</v>
      </c>
      <c r="I14" t="s">
        <v>59</v>
      </c>
      <c r="J14" t="s">
        <v>32</v>
      </c>
      <c r="K14">
        <v>132</v>
      </c>
    </row>
    <row r="15" spans="1:11" x14ac:dyDescent="0.25">
      <c r="A15" s="2">
        <v>38534</v>
      </c>
      <c r="B15">
        <v>3</v>
      </c>
      <c r="C15" t="s">
        <v>55</v>
      </c>
      <c r="D15">
        <v>1</v>
      </c>
      <c r="E15" t="s">
        <v>56</v>
      </c>
      <c r="F15">
        <v>2</v>
      </c>
      <c r="G15" t="s">
        <v>60</v>
      </c>
      <c r="H15" t="s">
        <v>66</v>
      </c>
      <c r="I15" t="s">
        <v>59</v>
      </c>
      <c r="J15" t="s">
        <v>32</v>
      </c>
      <c r="K15">
        <v>100</v>
      </c>
    </row>
    <row r="16" spans="1:11" x14ac:dyDescent="0.25">
      <c r="A16" s="2">
        <v>38534</v>
      </c>
      <c r="B16">
        <v>3</v>
      </c>
      <c r="C16" t="s">
        <v>55</v>
      </c>
      <c r="D16">
        <v>1</v>
      </c>
      <c r="E16" t="s">
        <v>56</v>
      </c>
      <c r="F16">
        <v>1</v>
      </c>
      <c r="G16" t="s">
        <v>57</v>
      </c>
      <c r="H16" t="s">
        <v>67</v>
      </c>
      <c r="I16" t="s">
        <v>59</v>
      </c>
      <c r="J16" t="s">
        <v>32</v>
      </c>
      <c r="K16">
        <v>38</v>
      </c>
    </row>
    <row r="17" spans="1:11" x14ac:dyDescent="0.25">
      <c r="A17" s="2">
        <v>38534</v>
      </c>
      <c r="B17">
        <v>3</v>
      </c>
      <c r="C17" t="s">
        <v>55</v>
      </c>
      <c r="D17">
        <v>1</v>
      </c>
      <c r="E17" t="s">
        <v>56</v>
      </c>
      <c r="F17">
        <v>1</v>
      </c>
      <c r="G17" t="s">
        <v>57</v>
      </c>
      <c r="H17" t="s">
        <v>68</v>
      </c>
      <c r="I17" t="s">
        <v>59</v>
      </c>
      <c r="J17" t="s">
        <v>32</v>
      </c>
      <c r="K17">
        <v>54</v>
      </c>
    </row>
    <row r="18" spans="1:11" x14ac:dyDescent="0.25">
      <c r="A18" s="2">
        <v>38534</v>
      </c>
      <c r="B18">
        <v>3</v>
      </c>
      <c r="C18" t="s">
        <v>55</v>
      </c>
      <c r="D18">
        <v>1</v>
      </c>
      <c r="E18" t="s">
        <v>56</v>
      </c>
      <c r="F18">
        <v>2</v>
      </c>
      <c r="G18" t="s">
        <v>60</v>
      </c>
      <c r="H18" t="s">
        <v>68</v>
      </c>
      <c r="I18" t="s">
        <v>59</v>
      </c>
      <c r="J18" t="s">
        <v>32</v>
      </c>
      <c r="K18">
        <v>70</v>
      </c>
    </row>
    <row r="19" spans="1:11" x14ac:dyDescent="0.25">
      <c r="A19" s="2">
        <v>38534</v>
      </c>
      <c r="B19">
        <v>3</v>
      </c>
      <c r="C19" t="s">
        <v>55</v>
      </c>
      <c r="D19">
        <v>1</v>
      </c>
      <c r="E19" t="s">
        <v>56</v>
      </c>
      <c r="F19">
        <v>2</v>
      </c>
      <c r="G19" t="s">
        <v>60</v>
      </c>
      <c r="H19" t="s">
        <v>69</v>
      </c>
      <c r="I19" t="s">
        <v>59</v>
      </c>
      <c r="J19" t="s">
        <v>32</v>
      </c>
      <c r="K19">
        <v>300</v>
      </c>
    </row>
    <row r="20" spans="1:11" x14ac:dyDescent="0.25">
      <c r="A20" s="2">
        <v>38534</v>
      </c>
      <c r="B20">
        <v>3</v>
      </c>
      <c r="C20" t="s">
        <v>55</v>
      </c>
      <c r="D20">
        <v>1</v>
      </c>
      <c r="E20" t="s">
        <v>56</v>
      </c>
      <c r="F20">
        <v>1</v>
      </c>
      <c r="G20" t="s">
        <v>57</v>
      </c>
      <c r="H20" t="s">
        <v>69</v>
      </c>
      <c r="I20" t="s">
        <v>59</v>
      </c>
      <c r="J20" t="s">
        <v>32</v>
      </c>
      <c r="K20">
        <v>250</v>
      </c>
    </row>
    <row r="21" spans="1:11" x14ac:dyDescent="0.25">
      <c r="A21" s="2">
        <v>38534</v>
      </c>
      <c r="B21">
        <v>3</v>
      </c>
      <c r="C21" t="s">
        <v>55</v>
      </c>
      <c r="D21">
        <v>1</v>
      </c>
      <c r="E21" t="s">
        <v>56</v>
      </c>
      <c r="F21">
        <v>1</v>
      </c>
      <c r="G21" t="s">
        <v>57</v>
      </c>
      <c r="H21" t="s">
        <v>70</v>
      </c>
      <c r="I21" t="s">
        <v>59</v>
      </c>
      <c r="J21" t="s">
        <v>32</v>
      </c>
      <c r="K21">
        <v>114</v>
      </c>
    </row>
    <row r="22" spans="1:11" x14ac:dyDescent="0.25">
      <c r="A22" s="2">
        <v>38534</v>
      </c>
      <c r="B22">
        <v>3</v>
      </c>
      <c r="C22" t="s">
        <v>55</v>
      </c>
      <c r="D22">
        <v>1</v>
      </c>
      <c r="E22" t="s">
        <v>56</v>
      </c>
      <c r="F22">
        <v>2</v>
      </c>
      <c r="G22" t="s">
        <v>60</v>
      </c>
      <c r="H22" t="s">
        <v>70</v>
      </c>
      <c r="I22" t="s">
        <v>59</v>
      </c>
      <c r="J22" t="s">
        <v>32</v>
      </c>
      <c r="K22">
        <v>100</v>
      </c>
    </row>
    <row r="23" spans="1:11" x14ac:dyDescent="0.25">
      <c r="A23" s="2">
        <v>38534</v>
      </c>
      <c r="B23">
        <v>3</v>
      </c>
      <c r="C23" t="s">
        <v>55</v>
      </c>
      <c r="D23">
        <v>1</v>
      </c>
      <c r="E23" t="s">
        <v>56</v>
      </c>
      <c r="F23">
        <v>2</v>
      </c>
      <c r="G23" t="s">
        <v>60</v>
      </c>
      <c r="H23" t="s">
        <v>71</v>
      </c>
      <c r="I23" t="s">
        <v>59</v>
      </c>
      <c r="J23" t="s">
        <v>32</v>
      </c>
      <c r="K23">
        <v>280</v>
      </c>
    </row>
    <row r="24" spans="1:11" x14ac:dyDescent="0.25">
      <c r="A24" s="2">
        <v>38534</v>
      </c>
      <c r="B24">
        <v>3</v>
      </c>
      <c r="C24" t="s">
        <v>55</v>
      </c>
      <c r="D24">
        <v>1</v>
      </c>
      <c r="E24" t="s">
        <v>56</v>
      </c>
      <c r="F24">
        <v>1</v>
      </c>
      <c r="G24" t="s">
        <v>57</v>
      </c>
      <c r="H24" t="s">
        <v>71</v>
      </c>
      <c r="I24" t="s">
        <v>59</v>
      </c>
      <c r="J24" t="s">
        <v>32</v>
      </c>
      <c r="K24">
        <v>297</v>
      </c>
    </row>
    <row r="25" spans="1:11" x14ac:dyDescent="0.25">
      <c r="A25" s="2">
        <v>38534</v>
      </c>
      <c r="B25">
        <v>3</v>
      </c>
      <c r="C25" t="s">
        <v>55</v>
      </c>
      <c r="D25">
        <v>1</v>
      </c>
      <c r="E25" t="s">
        <v>56</v>
      </c>
      <c r="F25">
        <v>1</v>
      </c>
      <c r="G25" t="s">
        <v>57</v>
      </c>
      <c r="H25" t="s">
        <v>72</v>
      </c>
      <c r="I25" t="s">
        <v>59</v>
      </c>
      <c r="J25" t="s">
        <v>32</v>
      </c>
      <c r="K25">
        <v>535</v>
      </c>
    </row>
    <row r="26" spans="1:11" x14ac:dyDescent="0.25">
      <c r="A26" s="2">
        <v>38534</v>
      </c>
      <c r="B26">
        <v>3</v>
      </c>
      <c r="C26" t="s">
        <v>55</v>
      </c>
      <c r="D26">
        <v>1</v>
      </c>
      <c r="E26" t="s">
        <v>56</v>
      </c>
      <c r="F26">
        <v>2</v>
      </c>
      <c r="G26" t="s">
        <v>60</v>
      </c>
      <c r="H26" t="s">
        <v>72</v>
      </c>
      <c r="I26" t="s">
        <v>59</v>
      </c>
      <c r="J26" t="s">
        <v>32</v>
      </c>
      <c r="K26">
        <v>480</v>
      </c>
    </row>
    <row r="27" spans="1:11" x14ac:dyDescent="0.25">
      <c r="A27" s="2">
        <v>38534</v>
      </c>
      <c r="B27">
        <v>3</v>
      </c>
      <c r="C27" t="s">
        <v>55</v>
      </c>
      <c r="D27">
        <v>1</v>
      </c>
      <c r="E27" t="s">
        <v>56</v>
      </c>
      <c r="F27">
        <v>2</v>
      </c>
      <c r="G27" t="s">
        <v>60</v>
      </c>
      <c r="H27" t="s">
        <v>73</v>
      </c>
      <c r="I27" t="s">
        <v>59</v>
      </c>
      <c r="J27" t="s">
        <v>32</v>
      </c>
      <c r="K27">
        <v>200</v>
      </c>
    </row>
    <row r="28" spans="1:11" x14ac:dyDescent="0.25">
      <c r="A28" s="2">
        <v>38534</v>
      </c>
      <c r="B28">
        <v>3</v>
      </c>
      <c r="C28" t="s">
        <v>55</v>
      </c>
      <c r="D28">
        <v>1</v>
      </c>
      <c r="E28" t="s">
        <v>56</v>
      </c>
      <c r="F28">
        <v>1</v>
      </c>
      <c r="G28" t="s">
        <v>57</v>
      </c>
      <c r="H28" t="s">
        <v>73</v>
      </c>
      <c r="I28" t="s">
        <v>59</v>
      </c>
      <c r="J28" t="s">
        <v>32</v>
      </c>
      <c r="K28">
        <v>153</v>
      </c>
    </row>
    <row r="29" spans="1:11" x14ac:dyDescent="0.25">
      <c r="A29" s="2">
        <v>38534</v>
      </c>
      <c r="B29">
        <v>3</v>
      </c>
      <c r="C29" t="s">
        <v>55</v>
      </c>
      <c r="D29">
        <v>1</v>
      </c>
      <c r="E29" t="s">
        <v>56</v>
      </c>
      <c r="F29">
        <v>1</v>
      </c>
      <c r="G29" t="s">
        <v>57</v>
      </c>
      <c r="H29" t="s">
        <v>74</v>
      </c>
      <c r="I29" t="s">
        <v>59</v>
      </c>
      <c r="J29" t="s">
        <v>32</v>
      </c>
      <c r="K29">
        <v>586</v>
      </c>
    </row>
    <row r="30" spans="1:11" x14ac:dyDescent="0.25">
      <c r="A30" s="2">
        <v>38534</v>
      </c>
      <c r="B30">
        <v>3</v>
      </c>
      <c r="C30" t="s">
        <v>55</v>
      </c>
      <c r="D30">
        <v>1</v>
      </c>
      <c r="E30" t="s">
        <v>56</v>
      </c>
      <c r="F30">
        <v>2</v>
      </c>
      <c r="G30" t="s">
        <v>60</v>
      </c>
      <c r="H30" t="s">
        <v>74</v>
      </c>
      <c r="I30" t="s">
        <v>59</v>
      </c>
      <c r="J30" t="s">
        <v>32</v>
      </c>
      <c r="K30">
        <v>550</v>
      </c>
    </row>
    <row r="31" spans="1:11" x14ac:dyDescent="0.25">
      <c r="A31" s="2">
        <v>38534</v>
      </c>
      <c r="B31">
        <v>3</v>
      </c>
      <c r="C31" t="s">
        <v>55</v>
      </c>
      <c r="D31">
        <v>1</v>
      </c>
      <c r="E31" t="s">
        <v>56</v>
      </c>
      <c r="F31">
        <v>2</v>
      </c>
      <c r="G31" t="s">
        <v>60</v>
      </c>
      <c r="H31" t="s">
        <v>75</v>
      </c>
      <c r="I31" t="s">
        <v>59</v>
      </c>
      <c r="J31" t="s">
        <v>32</v>
      </c>
      <c r="K31">
        <v>380</v>
      </c>
    </row>
    <row r="32" spans="1:11" x14ac:dyDescent="0.25">
      <c r="A32" s="2">
        <v>38534</v>
      </c>
      <c r="B32">
        <v>3</v>
      </c>
      <c r="C32" t="s">
        <v>55</v>
      </c>
      <c r="D32">
        <v>1</v>
      </c>
      <c r="E32" t="s">
        <v>56</v>
      </c>
      <c r="F32">
        <v>1</v>
      </c>
      <c r="G32" t="s">
        <v>57</v>
      </c>
      <c r="H32" t="s">
        <v>75</v>
      </c>
      <c r="I32" t="s">
        <v>59</v>
      </c>
      <c r="J32" t="s">
        <v>32</v>
      </c>
      <c r="K32">
        <v>363</v>
      </c>
    </row>
    <row r="33" spans="1:11" x14ac:dyDescent="0.25">
      <c r="A33" s="2">
        <v>38534</v>
      </c>
      <c r="B33">
        <v>3</v>
      </c>
      <c r="C33" t="s">
        <v>55</v>
      </c>
      <c r="D33">
        <v>1</v>
      </c>
      <c r="E33" t="s">
        <v>56</v>
      </c>
      <c r="F33">
        <v>1</v>
      </c>
      <c r="G33" t="s">
        <v>57</v>
      </c>
      <c r="H33" t="s">
        <v>76</v>
      </c>
      <c r="I33" t="s">
        <v>59</v>
      </c>
      <c r="J33" t="s">
        <v>32</v>
      </c>
      <c r="K33">
        <v>35</v>
      </c>
    </row>
    <row r="34" spans="1:11" x14ac:dyDescent="0.25">
      <c r="A34" s="2">
        <v>38534</v>
      </c>
      <c r="B34">
        <v>3</v>
      </c>
      <c r="C34" t="s">
        <v>55</v>
      </c>
      <c r="D34">
        <v>1</v>
      </c>
      <c r="E34" t="s">
        <v>56</v>
      </c>
      <c r="F34">
        <v>2</v>
      </c>
      <c r="G34" t="s">
        <v>60</v>
      </c>
      <c r="H34" t="s">
        <v>76</v>
      </c>
      <c r="I34" t="s">
        <v>59</v>
      </c>
      <c r="J34" t="s">
        <v>32</v>
      </c>
      <c r="K34">
        <v>40</v>
      </c>
    </row>
    <row r="35" spans="1:11" x14ac:dyDescent="0.25">
      <c r="A35" s="2">
        <v>38534</v>
      </c>
      <c r="B35">
        <v>3</v>
      </c>
      <c r="C35" t="s">
        <v>55</v>
      </c>
      <c r="D35">
        <v>1</v>
      </c>
      <c r="E35" t="s">
        <v>56</v>
      </c>
      <c r="F35">
        <v>2</v>
      </c>
      <c r="G35" t="s">
        <v>60</v>
      </c>
      <c r="H35" t="s">
        <v>77</v>
      </c>
      <c r="I35" t="s">
        <v>59</v>
      </c>
      <c r="J35" t="s">
        <v>32</v>
      </c>
      <c r="K35">
        <v>100</v>
      </c>
    </row>
    <row r="36" spans="1:11" x14ac:dyDescent="0.25">
      <c r="A36" s="2">
        <v>38534</v>
      </c>
      <c r="B36">
        <v>3</v>
      </c>
      <c r="C36" t="s">
        <v>55</v>
      </c>
      <c r="D36">
        <v>1</v>
      </c>
      <c r="E36" t="s">
        <v>56</v>
      </c>
      <c r="F36">
        <v>1</v>
      </c>
      <c r="G36" t="s">
        <v>57</v>
      </c>
      <c r="H36" t="s">
        <v>77</v>
      </c>
      <c r="I36" t="s">
        <v>59</v>
      </c>
      <c r="J36" t="s">
        <v>32</v>
      </c>
      <c r="K36">
        <v>123</v>
      </c>
    </row>
    <row r="37" spans="1:11" x14ac:dyDescent="0.25">
      <c r="A37" s="2">
        <v>38534</v>
      </c>
      <c r="B37">
        <v>3</v>
      </c>
      <c r="C37" t="s">
        <v>55</v>
      </c>
      <c r="D37">
        <v>1</v>
      </c>
      <c r="E37" t="s">
        <v>56</v>
      </c>
      <c r="F37">
        <v>1</v>
      </c>
      <c r="G37" t="s">
        <v>57</v>
      </c>
      <c r="H37" t="s">
        <v>78</v>
      </c>
      <c r="I37" t="s">
        <v>59</v>
      </c>
      <c r="J37" t="s">
        <v>32</v>
      </c>
      <c r="K37">
        <v>103</v>
      </c>
    </row>
    <row r="38" spans="1:11" x14ac:dyDescent="0.25">
      <c r="A38" s="2">
        <v>38534</v>
      </c>
      <c r="B38">
        <v>3</v>
      </c>
      <c r="C38" t="s">
        <v>55</v>
      </c>
      <c r="D38">
        <v>1</v>
      </c>
      <c r="E38" t="s">
        <v>56</v>
      </c>
      <c r="F38">
        <v>2</v>
      </c>
      <c r="G38" t="s">
        <v>60</v>
      </c>
      <c r="H38" t="s">
        <v>78</v>
      </c>
      <c r="I38" t="s">
        <v>59</v>
      </c>
      <c r="J38" t="s">
        <v>32</v>
      </c>
      <c r="K38">
        <v>100</v>
      </c>
    </row>
    <row r="39" spans="1:11" x14ac:dyDescent="0.25">
      <c r="A39" s="2">
        <v>38534</v>
      </c>
      <c r="B39">
        <v>3</v>
      </c>
      <c r="C39" t="s">
        <v>55</v>
      </c>
      <c r="D39">
        <v>1</v>
      </c>
      <c r="E39" t="s">
        <v>56</v>
      </c>
      <c r="F39">
        <v>2</v>
      </c>
      <c r="G39" t="s">
        <v>60</v>
      </c>
      <c r="H39" t="s">
        <v>79</v>
      </c>
      <c r="I39" t="s">
        <v>59</v>
      </c>
      <c r="J39" t="s">
        <v>32</v>
      </c>
      <c r="K39">
        <v>100</v>
      </c>
    </row>
    <row r="40" spans="1:11" x14ac:dyDescent="0.25">
      <c r="A40" s="2">
        <v>38534</v>
      </c>
      <c r="B40">
        <v>3</v>
      </c>
      <c r="C40" t="s">
        <v>55</v>
      </c>
      <c r="D40">
        <v>1</v>
      </c>
      <c r="E40" t="s">
        <v>56</v>
      </c>
      <c r="F40">
        <v>1</v>
      </c>
      <c r="G40" t="s">
        <v>57</v>
      </c>
      <c r="H40" t="s">
        <v>79</v>
      </c>
      <c r="I40" t="s">
        <v>59</v>
      </c>
      <c r="J40" t="s">
        <v>32</v>
      </c>
      <c r="K40">
        <v>98</v>
      </c>
    </row>
    <row r="41" spans="1:11" x14ac:dyDescent="0.25">
      <c r="A41" s="2">
        <v>38534</v>
      </c>
      <c r="B41">
        <v>3</v>
      </c>
      <c r="C41" t="s">
        <v>55</v>
      </c>
      <c r="D41">
        <v>1</v>
      </c>
      <c r="E41" t="s">
        <v>56</v>
      </c>
      <c r="F41">
        <v>1</v>
      </c>
      <c r="G41" t="s">
        <v>57</v>
      </c>
      <c r="H41" t="s">
        <v>80</v>
      </c>
      <c r="I41" t="s">
        <v>59</v>
      </c>
      <c r="J41" t="s">
        <v>32</v>
      </c>
      <c r="K41">
        <v>540</v>
      </c>
    </row>
    <row r="42" spans="1:11" x14ac:dyDescent="0.25">
      <c r="A42" s="2">
        <v>38534</v>
      </c>
      <c r="B42">
        <v>3</v>
      </c>
      <c r="C42" t="s">
        <v>55</v>
      </c>
      <c r="D42">
        <v>1</v>
      </c>
      <c r="E42" t="s">
        <v>56</v>
      </c>
      <c r="F42">
        <v>2</v>
      </c>
      <c r="G42" t="s">
        <v>60</v>
      </c>
      <c r="H42" t="s">
        <v>80</v>
      </c>
      <c r="I42" t="s">
        <v>59</v>
      </c>
      <c r="J42" t="s">
        <v>32</v>
      </c>
      <c r="K42">
        <v>480</v>
      </c>
    </row>
    <row r="43" spans="1:11" x14ac:dyDescent="0.25">
      <c r="A43" s="2">
        <v>38534</v>
      </c>
      <c r="B43">
        <v>3</v>
      </c>
      <c r="C43" t="s">
        <v>55</v>
      </c>
      <c r="D43">
        <v>1</v>
      </c>
      <c r="E43" t="s">
        <v>56</v>
      </c>
      <c r="F43">
        <v>1</v>
      </c>
      <c r="G43" t="s">
        <v>57</v>
      </c>
      <c r="H43" t="s">
        <v>81</v>
      </c>
      <c r="I43" t="s">
        <v>82</v>
      </c>
      <c r="J43" t="s">
        <v>32</v>
      </c>
      <c r="K43">
        <v>201</v>
      </c>
    </row>
    <row r="44" spans="1:11" x14ac:dyDescent="0.25">
      <c r="A44" s="2">
        <v>38534</v>
      </c>
      <c r="B44">
        <v>3</v>
      </c>
      <c r="C44" t="s">
        <v>55</v>
      </c>
      <c r="D44">
        <v>1</v>
      </c>
      <c r="E44" t="s">
        <v>56</v>
      </c>
      <c r="F44">
        <v>1</v>
      </c>
      <c r="G44" t="s">
        <v>57</v>
      </c>
      <c r="H44" t="s">
        <v>83</v>
      </c>
      <c r="I44" t="s">
        <v>59</v>
      </c>
      <c r="J44" t="s">
        <v>32</v>
      </c>
      <c r="K44">
        <v>309</v>
      </c>
    </row>
    <row r="45" spans="1:11" x14ac:dyDescent="0.25">
      <c r="A45" s="2">
        <v>38534</v>
      </c>
      <c r="B45">
        <v>3</v>
      </c>
      <c r="C45" t="s">
        <v>55</v>
      </c>
      <c r="D45">
        <v>1</v>
      </c>
      <c r="E45" t="s">
        <v>56</v>
      </c>
      <c r="F45">
        <v>1</v>
      </c>
      <c r="G45" t="s">
        <v>57</v>
      </c>
      <c r="H45" t="s">
        <v>84</v>
      </c>
      <c r="I45" t="s">
        <v>82</v>
      </c>
      <c r="J45" t="s">
        <v>32</v>
      </c>
      <c r="K45">
        <v>-247</v>
      </c>
    </row>
    <row r="46" spans="1:11" x14ac:dyDescent="0.25">
      <c r="A46" s="2">
        <v>38534</v>
      </c>
      <c r="B46">
        <v>3</v>
      </c>
      <c r="C46" t="s">
        <v>55</v>
      </c>
      <c r="D46">
        <v>1</v>
      </c>
      <c r="E46" t="s">
        <v>56</v>
      </c>
      <c r="F46">
        <v>1</v>
      </c>
      <c r="G46" t="s">
        <v>57</v>
      </c>
      <c r="H46" t="s">
        <v>85</v>
      </c>
      <c r="I46" t="s">
        <v>82</v>
      </c>
      <c r="J46" t="s">
        <v>32</v>
      </c>
      <c r="K46">
        <v>412</v>
      </c>
    </row>
    <row r="47" spans="1:11" x14ac:dyDescent="0.25">
      <c r="A47" s="2">
        <v>38534</v>
      </c>
      <c r="B47">
        <v>3</v>
      </c>
      <c r="C47" t="s">
        <v>55</v>
      </c>
      <c r="D47">
        <v>1</v>
      </c>
      <c r="E47" t="s">
        <v>56</v>
      </c>
      <c r="F47">
        <v>1</v>
      </c>
      <c r="G47" t="s">
        <v>57</v>
      </c>
      <c r="H47" t="s">
        <v>86</v>
      </c>
      <c r="I47" t="s">
        <v>59</v>
      </c>
      <c r="J47" t="s">
        <v>32</v>
      </c>
      <c r="K47">
        <v>214</v>
      </c>
    </row>
    <row r="48" spans="1:11" x14ac:dyDescent="0.25">
      <c r="A48" s="2">
        <v>38534</v>
      </c>
      <c r="B48">
        <v>3</v>
      </c>
      <c r="C48" t="s">
        <v>55</v>
      </c>
      <c r="D48">
        <v>1</v>
      </c>
      <c r="E48" t="s">
        <v>56</v>
      </c>
      <c r="F48">
        <v>1</v>
      </c>
      <c r="G48" t="s">
        <v>57</v>
      </c>
      <c r="H48" t="s">
        <v>87</v>
      </c>
      <c r="I48" t="s">
        <v>88</v>
      </c>
      <c r="J48" t="s">
        <v>89</v>
      </c>
      <c r="K48">
        <v>12</v>
      </c>
    </row>
    <row r="49" spans="1:11" x14ac:dyDescent="0.25">
      <c r="A49" s="2">
        <v>38534</v>
      </c>
      <c r="B49">
        <v>3</v>
      </c>
      <c r="C49" t="s">
        <v>55</v>
      </c>
      <c r="D49">
        <v>2</v>
      </c>
      <c r="E49" t="s">
        <v>90</v>
      </c>
      <c r="F49">
        <v>1</v>
      </c>
      <c r="G49" t="s">
        <v>57</v>
      </c>
      <c r="H49" t="s">
        <v>91</v>
      </c>
      <c r="I49" t="s">
        <v>92</v>
      </c>
      <c r="J49" t="s">
        <v>32</v>
      </c>
      <c r="K49">
        <v>23197</v>
      </c>
    </row>
    <row r="50" spans="1:11" x14ac:dyDescent="0.25">
      <c r="A50" s="2">
        <v>38534</v>
      </c>
      <c r="B50">
        <v>3</v>
      </c>
      <c r="C50" t="s">
        <v>55</v>
      </c>
      <c r="D50">
        <v>6</v>
      </c>
      <c r="E50" t="s">
        <v>93</v>
      </c>
      <c r="F50">
        <v>1</v>
      </c>
      <c r="G50" t="s">
        <v>57</v>
      </c>
      <c r="H50" t="s">
        <v>94</v>
      </c>
      <c r="I50" t="s">
        <v>82</v>
      </c>
      <c r="J50" t="s">
        <v>32</v>
      </c>
      <c r="K50">
        <v>3059</v>
      </c>
    </row>
    <row r="51" spans="1:11" x14ac:dyDescent="0.25">
      <c r="A51" s="2">
        <v>38534</v>
      </c>
      <c r="B51">
        <v>3</v>
      </c>
      <c r="C51" t="s">
        <v>55</v>
      </c>
      <c r="D51">
        <v>6</v>
      </c>
      <c r="E51" t="s">
        <v>93</v>
      </c>
      <c r="F51">
        <v>2</v>
      </c>
      <c r="G51" t="s">
        <v>60</v>
      </c>
      <c r="H51" t="s">
        <v>94</v>
      </c>
      <c r="I51" t="s">
        <v>82</v>
      </c>
      <c r="J51" t="s">
        <v>32</v>
      </c>
      <c r="K51">
        <v>3200</v>
      </c>
    </row>
    <row r="52" spans="1:11" x14ac:dyDescent="0.25">
      <c r="A52" s="2">
        <v>38534</v>
      </c>
      <c r="B52">
        <v>3</v>
      </c>
      <c r="C52" t="s">
        <v>55</v>
      </c>
      <c r="D52">
        <v>6</v>
      </c>
      <c r="E52" t="s">
        <v>93</v>
      </c>
      <c r="F52">
        <v>2</v>
      </c>
      <c r="G52" t="s">
        <v>60</v>
      </c>
      <c r="H52" t="s">
        <v>95</v>
      </c>
      <c r="I52" t="s">
        <v>59</v>
      </c>
      <c r="J52" t="s">
        <v>32</v>
      </c>
      <c r="K52">
        <v>2600</v>
      </c>
    </row>
    <row r="53" spans="1:11" x14ac:dyDescent="0.25">
      <c r="A53" s="2">
        <v>38534</v>
      </c>
      <c r="B53">
        <v>3</v>
      </c>
      <c r="C53" t="s">
        <v>55</v>
      </c>
      <c r="D53">
        <v>6</v>
      </c>
      <c r="E53" t="s">
        <v>93</v>
      </c>
      <c r="F53">
        <v>1</v>
      </c>
      <c r="G53" t="s">
        <v>57</v>
      </c>
      <c r="H53" t="s">
        <v>95</v>
      </c>
      <c r="I53" t="s">
        <v>59</v>
      </c>
      <c r="J53" t="s">
        <v>32</v>
      </c>
      <c r="K53">
        <v>2294</v>
      </c>
    </row>
    <row r="54" spans="1:11" x14ac:dyDescent="0.25">
      <c r="A54" s="2">
        <v>38534</v>
      </c>
      <c r="B54">
        <v>3</v>
      </c>
      <c r="C54" t="s">
        <v>55</v>
      </c>
      <c r="D54">
        <v>6</v>
      </c>
      <c r="E54" t="s">
        <v>93</v>
      </c>
      <c r="F54">
        <v>1</v>
      </c>
      <c r="G54" t="s">
        <v>57</v>
      </c>
      <c r="H54" t="s">
        <v>96</v>
      </c>
      <c r="I54" t="s">
        <v>59</v>
      </c>
      <c r="J54" t="s">
        <v>32</v>
      </c>
      <c r="K54">
        <v>33968</v>
      </c>
    </row>
    <row r="55" spans="1:11" x14ac:dyDescent="0.25">
      <c r="A55" s="2">
        <v>38534</v>
      </c>
      <c r="B55">
        <v>3</v>
      </c>
      <c r="C55" t="s">
        <v>55</v>
      </c>
      <c r="D55">
        <v>6</v>
      </c>
      <c r="E55" t="s">
        <v>93</v>
      </c>
      <c r="F55">
        <v>2</v>
      </c>
      <c r="G55" t="s">
        <v>60</v>
      </c>
      <c r="H55" t="s">
        <v>96</v>
      </c>
      <c r="I55" t="s">
        <v>59</v>
      </c>
      <c r="J55" t="s">
        <v>32</v>
      </c>
      <c r="K55">
        <v>27200</v>
      </c>
    </row>
    <row r="56" spans="1:11" x14ac:dyDescent="0.25">
      <c r="A56" s="2">
        <v>38534</v>
      </c>
      <c r="B56">
        <v>3</v>
      </c>
      <c r="C56" t="s">
        <v>55</v>
      </c>
      <c r="D56">
        <v>6</v>
      </c>
      <c r="E56" t="s">
        <v>93</v>
      </c>
      <c r="F56">
        <v>2</v>
      </c>
      <c r="G56" t="s">
        <v>60</v>
      </c>
      <c r="H56" t="s">
        <v>97</v>
      </c>
      <c r="I56" t="s">
        <v>59</v>
      </c>
      <c r="J56" t="s">
        <v>32</v>
      </c>
      <c r="K56">
        <v>3800</v>
      </c>
    </row>
    <row r="57" spans="1:11" x14ac:dyDescent="0.25">
      <c r="A57" s="2">
        <v>38534</v>
      </c>
      <c r="B57">
        <v>3</v>
      </c>
      <c r="C57" t="s">
        <v>55</v>
      </c>
      <c r="D57">
        <v>6</v>
      </c>
      <c r="E57" t="s">
        <v>93</v>
      </c>
      <c r="F57">
        <v>1</v>
      </c>
      <c r="G57" t="s">
        <v>57</v>
      </c>
      <c r="H57" t="s">
        <v>97</v>
      </c>
      <c r="I57" t="s">
        <v>59</v>
      </c>
      <c r="J57" t="s">
        <v>32</v>
      </c>
      <c r="K57">
        <v>3186</v>
      </c>
    </row>
    <row r="58" spans="1:11" x14ac:dyDescent="0.25">
      <c r="A58" s="2">
        <v>38534</v>
      </c>
      <c r="B58">
        <v>3</v>
      </c>
      <c r="C58" t="s">
        <v>55</v>
      </c>
      <c r="D58">
        <v>6</v>
      </c>
      <c r="E58" t="s">
        <v>93</v>
      </c>
      <c r="F58">
        <v>1</v>
      </c>
      <c r="G58" t="s">
        <v>57</v>
      </c>
      <c r="H58" t="s">
        <v>58</v>
      </c>
      <c r="I58" t="s">
        <v>59</v>
      </c>
      <c r="J58" t="s">
        <v>32</v>
      </c>
      <c r="K58">
        <v>16320</v>
      </c>
    </row>
    <row r="59" spans="1:11" x14ac:dyDescent="0.25">
      <c r="A59" s="2">
        <v>38534</v>
      </c>
      <c r="B59">
        <v>3</v>
      </c>
      <c r="C59" t="s">
        <v>55</v>
      </c>
      <c r="D59">
        <v>6</v>
      </c>
      <c r="E59" t="s">
        <v>93</v>
      </c>
      <c r="F59">
        <v>2</v>
      </c>
      <c r="G59" t="s">
        <v>60</v>
      </c>
      <c r="H59" t="s">
        <v>58</v>
      </c>
      <c r="I59" t="s">
        <v>59</v>
      </c>
      <c r="J59" t="s">
        <v>32</v>
      </c>
      <c r="K59">
        <v>14300</v>
      </c>
    </row>
    <row r="60" spans="1:11" x14ac:dyDescent="0.25">
      <c r="A60" s="2">
        <v>38534</v>
      </c>
      <c r="B60">
        <v>3</v>
      </c>
      <c r="C60" t="s">
        <v>55</v>
      </c>
      <c r="D60">
        <v>6</v>
      </c>
      <c r="E60" t="s">
        <v>93</v>
      </c>
      <c r="F60">
        <v>2</v>
      </c>
      <c r="G60" t="s">
        <v>60</v>
      </c>
      <c r="H60" t="s">
        <v>61</v>
      </c>
      <c r="I60" t="s">
        <v>59</v>
      </c>
      <c r="J60" t="s">
        <v>32</v>
      </c>
      <c r="K60">
        <v>1600</v>
      </c>
    </row>
    <row r="61" spans="1:11" x14ac:dyDescent="0.25">
      <c r="A61" s="2">
        <v>38534</v>
      </c>
      <c r="B61">
        <v>3</v>
      </c>
      <c r="C61" t="s">
        <v>55</v>
      </c>
      <c r="D61">
        <v>6</v>
      </c>
      <c r="E61" t="s">
        <v>93</v>
      </c>
      <c r="F61">
        <v>1</v>
      </c>
      <c r="G61" t="s">
        <v>57</v>
      </c>
      <c r="H61" t="s">
        <v>61</v>
      </c>
      <c r="I61" t="s">
        <v>59</v>
      </c>
      <c r="J61" t="s">
        <v>32</v>
      </c>
      <c r="K61">
        <v>1632</v>
      </c>
    </row>
    <row r="62" spans="1:11" x14ac:dyDescent="0.25">
      <c r="A62" s="2">
        <v>38534</v>
      </c>
      <c r="B62">
        <v>3</v>
      </c>
      <c r="C62" t="s">
        <v>55</v>
      </c>
      <c r="D62">
        <v>6</v>
      </c>
      <c r="E62" t="s">
        <v>93</v>
      </c>
      <c r="F62">
        <v>1</v>
      </c>
      <c r="G62" t="s">
        <v>57</v>
      </c>
      <c r="H62" t="s">
        <v>62</v>
      </c>
      <c r="I62" t="s">
        <v>59</v>
      </c>
      <c r="J62" t="s">
        <v>32</v>
      </c>
      <c r="K62">
        <v>979</v>
      </c>
    </row>
    <row r="63" spans="1:11" x14ac:dyDescent="0.25">
      <c r="A63" s="2">
        <v>38534</v>
      </c>
      <c r="B63">
        <v>3</v>
      </c>
      <c r="C63" t="s">
        <v>55</v>
      </c>
      <c r="D63">
        <v>6</v>
      </c>
      <c r="E63" t="s">
        <v>93</v>
      </c>
      <c r="F63">
        <v>2</v>
      </c>
      <c r="G63" t="s">
        <v>60</v>
      </c>
      <c r="H63" t="s">
        <v>62</v>
      </c>
      <c r="I63" t="s">
        <v>59</v>
      </c>
      <c r="J63" t="s">
        <v>32</v>
      </c>
      <c r="K63">
        <v>1100</v>
      </c>
    </row>
    <row r="64" spans="1:11" x14ac:dyDescent="0.25">
      <c r="A64" s="2">
        <v>38534</v>
      </c>
      <c r="B64">
        <v>3</v>
      </c>
      <c r="C64" t="s">
        <v>55</v>
      </c>
      <c r="D64">
        <v>6</v>
      </c>
      <c r="E64" t="s">
        <v>93</v>
      </c>
      <c r="F64">
        <v>2</v>
      </c>
      <c r="G64" t="s">
        <v>60</v>
      </c>
      <c r="H64" t="s">
        <v>98</v>
      </c>
      <c r="I64" t="s">
        <v>59</v>
      </c>
      <c r="J64" t="s">
        <v>32</v>
      </c>
      <c r="K64">
        <v>2400</v>
      </c>
    </row>
    <row r="65" spans="1:11" x14ac:dyDescent="0.25">
      <c r="A65" s="2">
        <v>38534</v>
      </c>
      <c r="B65">
        <v>3</v>
      </c>
      <c r="C65" t="s">
        <v>55</v>
      </c>
      <c r="D65">
        <v>6</v>
      </c>
      <c r="E65" t="s">
        <v>93</v>
      </c>
      <c r="F65">
        <v>1</v>
      </c>
      <c r="G65" t="s">
        <v>57</v>
      </c>
      <c r="H65" t="s">
        <v>98</v>
      </c>
      <c r="I65" t="s">
        <v>59</v>
      </c>
      <c r="J65" t="s">
        <v>32</v>
      </c>
      <c r="K65">
        <v>1912</v>
      </c>
    </row>
    <row r="66" spans="1:11" x14ac:dyDescent="0.25">
      <c r="A66" s="2">
        <v>38534</v>
      </c>
      <c r="B66">
        <v>3</v>
      </c>
      <c r="C66" t="s">
        <v>55</v>
      </c>
      <c r="D66">
        <v>6</v>
      </c>
      <c r="E66" t="s">
        <v>93</v>
      </c>
      <c r="F66">
        <v>1</v>
      </c>
      <c r="G66" t="s">
        <v>57</v>
      </c>
      <c r="H66" t="s">
        <v>63</v>
      </c>
      <c r="I66" t="s">
        <v>59</v>
      </c>
      <c r="J66" t="s">
        <v>32</v>
      </c>
      <c r="K66">
        <v>220</v>
      </c>
    </row>
    <row r="67" spans="1:11" x14ac:dyDescent="0.25">
      <c r="A67" s="2">
        <v>38534</v>
      </c>
      <c r="B67">
        <v>3</v>
      </c>
      <c r="C67" t="s">
        <v>55</v>
      </c>
      <c r="D67">
        <v>6</v>
      </c>
      <c r="E67" t="s">
        <v>93</v>
      </c>
      <c r="F67">
        <v>2</v>
      </c>
      <c r="G67" t="s">
        <v>60</v>
      </c>
      <c r="H67" t="s">
        <v>63</v>
      </c>
      <c r="I67" t="s">
        <v>59</v>
      </c>
      <c r="J67" t="s">
        <v>32</v>
      </c>
      <c r="K67">
        <v>280</v>
      </c>
    </row>
    <row r="68" spans="1:11" x14ac:dyDescent="0.25">
      <c r="A68" s="2">
        <v>38534</v>
      </c>
      <c r="B68">
        <v>3</v>
      </c>
      <c r="C68" t="s">
        <v>55</v>
      </c>
      <c r="D68">
        <v>6</v>
      </c>
      <c r="E68" t="s">
        <v>93</v>
      </c>
      <c r="F68">
        <v>2</v>
      </c>
      <c r="G68" t="s">
        <v>60</v>
      </c>
      <c r="H68" t="s">
        <v>64</v>
      </c>
      <c r="I68" t="s">
        <v>59</v>
      </c>
      <c r="J68" t="s">
        <v>32</v>
      </c>
      <c r="K68">
        <v>200</v>
      </c>
    </row>
    <row r="69" spans="1:11" x14ac:dyDescent="0.25">
      <c r="A69" s="2">
        <v>38534</v>
      </c>
      <c r="B69">
        <v>3</v>
      </c>
      <c r="C69" t="s">
        <v>55</v>
      </c>
      <c r="D69">
        <v>6</v>
      </c>
      <c r="E69" t="s">
        <v>93</v>
      </c>
      <c r="F69">
        <v>1</v>
      </c>
      <c r="G69" t="s">
        <v>57</v>
      </c>
      <c r="H69" t="s">
        <v>64</v>
      </c>
      <c r="I69" t="s">
        <v>59</v>
      </c>
      <c r="J69" t="s">
        <v>32</v>
      </c>
      <c r="K69">
        <v>200</v>
      </c>
    </row>
    <row r="70" spans="1:11" x14ac:dyDescent="0.25">
      <c r="A70" s="2">
        <v>38534</v>
      </c>
      <c r="B70">
        <v>3</v>
      </c>
      <c r="C70" t="s">
        <v>55</v>
      </c>
      <c r="D70">
        <v>6</v>
      </c>
      <c r="E70" t="s">
        <v>93</v>
      </c>
      <c r="F70">
        <v>1</v>
      </c>
      <c r="G70" t="s">
        <v>57</v>
      </c>
      <c r="H70" t="s">
        <v>65</v>
      </c>
      <c r="I70" t="s">
        <v>59</v>
      </c>
      <c r="J70" t="s">
        <v>32</v>
      </c>
      <c r="K70">
        <v>104</v>
      </c>
    </row>
    <row r="71" spans="1:11" x14ac:dyDescent="0.25">
      <c r="A71" s="2">
        <v>38534</v>
      </c>
      <c r="B71">
        <v>3</v>
      </c>
      <c r="C71" t="s">
        <v>55</v>
      </c>
      <c r="D71">
        <v>6</v>
      </c>
      <c r="E71" t="s">
        <v>93</v>
      </c>
      <c r="F71">
        <v>2</v>
      </c>
      <c r="G71" t="s">
        <v>60</v>
      </c>
      <c r="H71" t="s">
        <v>65</v>
      </c>
      <c r="I71" t="s">
        <v>59</v>
      </c>
      <c r="J71" t="s">
        <v>32</v>
      </c>
      <c r="K71">
        <v>100</v>
      </c>
    </row>
    <row r="72" spans="1:11" x14ac:dyDescent="0.25">
      <c r="A72" s="2">
        <v>38534</v>
      </c>
      <c r="B72">
        <v>3</v>
      </c>
      <c r="C72" t="s">
        <v>55</v>
      </c>
      <c r="D72">
        <v>6</v>
      </c>
      <c r="E72" t="s">
        <v>93</v>
      </c>
      <c r="F72">
        <v>2</v>
      </c>
      <c r="G72" t="s">
        <v>60</v>
      </c>
      <c r="H72" t="s">
        <v>66</v>
      </c>
      <c r="I72" t="s">
        <v>59</v>
      </c>
      <c r="J72" t="s">
        <v>32</v>
      </c>
      <c r="K72">
        <v>100</v>
      </c>
    </row>
    <row r="73" spans="1:11" x14ac:dyDescent="0.25">
      <c r="A73" s="2">
        <v>38534</v>
      </c>
      <c r="B73">
        <v>3</v>
      </c>
      <c r="C73" t="s">
        <v>55</v>
      </c>
      <c r="D73">
        <v>6</v>
      </c>
      <c r="E73" t="s">
        <v>93</v>
      </c>
      <c r="F73">
        <v>1</v>
      </c>
      <c r="G73" t="s">
        <v>57</v>
      </c>
      <c r="H73" t="s">
        <v>66</v>
      </c>
      <c r="I73" t="s">
        <v>59</v>
      </c>
      <c r="J73" t="s">
        <v>32</v>
      </c>
      <c r="K73">
        <v>76</v>
      </c>
    </row>
    <row r="74" spans="1:11" x14ac:dyDescent="0.25">
      <c r="A74" s="2">
        <v>38534</v>
      </c>
      <c r="B74">
        <v>3</v>
      </c>
      <c r="C74" t="s">
        <v>55</v>
      </c>
      <c r="D74">
        <v>6</v>
      </c>
      <c r="E74" t="s">
        <v>93</v>
      </c>
      <c r="F74">
        <v>1</v>
      </c>
      <c r="G74" t="s">
        <v>57</v>
      </c>
      <c r="H74" t="s">
        <v>67</v>
      </c>
      <c r="I74" t="s">
        <v>59</v>
      </c>
      <c r="J74" t="s">
        <v>32</v>
      </c>
      <c r="K74">
        <v>22</v>
      </c>
    </row>
    <row r="75" spans="1:11" x14ac:dyDescent="0.25">
      <c r="A75" s="2">
        <v>38534</v>
      </c>
      <c r="B75">
        <v>3</v>
      </c>
      <c r="C75" t="s">
        <v>55</v>
      </c>
      <c r="D75">
        <v>6</v>
      </c>
      <c r="E75" t="s">
        <v>93</v>
      </c>
      <c r="F75">
        <v>1</v>
      </c>
      <c r="G75" t="s">
        <v>57</v>
      </c>
      <c r="H75" t="s">
        <v>68</v>
      </c>
      <c r="I75" t="s">
        <v>59</v>
      </c>
      <c r="J75" t="s">
        <v>32</v>
      </c>
      <c r="K75">
        <v>32</v>
      </c>
    </row>
    <row r="76" spans="1:11" x14ac:dyDescent="0.25">
      <c r="A76" s="2">
        <v>38534</v>
      </c>
      <c r="B76">
        <v>3</v>
      </c>
      <c r="C76" t="s">
        <v>55</v>
      </c>
      <c r="D76">
        <v>6</v>
      </c>
      <c r="E76" t="s">
        <v>93</v>
      </c>
      <c r="F76">
        <v>2</v>
      </c>
      <c r="G76" t="s">
        <v>60</v>
      </c>
      <c r="H76" t="s">
        <v>68</v>
      </c>
      <c r="I76" t="s">
        <v>59</v>
      </c>
      <c r="J76" t="s">
        <v>32</v>
      </c>
      <c r="K76">
        <v>50</v>
      </c>
    </row>
    <row r="77" spans="1:11" x14ac:dyDescent="0.25">
      <c r="A77" s="2">
        <v>38534</v>
      </c>
      <c r="B77">
        <v>3</v>
      </c>
      <c r="C77" t="s">
        <v>55</v>
      </c>
      <c r="D77">
        <v>6</v>
      </c>
      <c r="E77" t="s">
        <v>93</v>
      </c>
      <c r="F77">
        <v>2</v>
      </c>
      <c r="G77" t="s">
        <v>60</v>
      </c>
      <c r="H77" t="s">
        <v>99</v>
      </c>
      <c r="I77" t="s">
        <v>59</v>
      </c>
      <c r="J77" t="s">
        <v>32</v>
      </c>
      <c r="K77">
        <v>200</v>
      </c>
    </row>
    <row r="78" spans="1:11" x14ac:dyDescent="0.25">
      <c r="A78" s="2">
        <v>38534</v>
      </c>
      <c r="B78">
        <v>3</v>
      </c>
      <c r="C78" t="s">
        <v>55</v>
      </c>
      <c r="D78">
        <v>6</v>
      </c>
      <c r="E78" t="s">
        <v>93</v>
      </c>
      <c r="F78">
        <v>1</v>
      </c>
      <c r="G78" t="s">
        <v>57</v>
      </c>
      <c r="H78" t="s">
        <v>99</v>
      </c>
      <c r="I78" t="s">
        <v>59</v>
      </c>
      <c r="J78" t="s">
        <v>32</v>
      </c>
      <c r="K78">
        <v>153</v>
      </c>
    </row>
    <row r="79" spans="1:11" x14ac:dyDescent="0.25">
      <c r="A79" s="2">
        <v>38534</v>
      </c>
      <c r="B79">
        <v>3</v>
      </c>
      <c r="C79" t="s">
        <v>55</v>
      </c>
      <c r="D79">
        <v>6</v>
      </c>
      <c r="E79" t="s">
        <v>93</v>
      </c>
      <c r="F79">
        <v>1</v>
      </c>
      <c r="G79" t="s">
        <v>57</v>
      </c>
      <c r="H79" t="s">
        <v>69</v>
      </c>
      <c r="I79" t="s">
        <v>59</v>
      </c>
      <c r="J79" t="s">
        <v>32</v>
      </c>
      <c r="K79">
        <v>151</v>
      </c>
    </row>
    <row r="80" spans="1:11" x14ac:dyDescent="0.25">
      <c r="A80" s="2">
        <v>38534</v>
      </c>
      <c r="B80">
        <v>3</v>
      </c>
      <c r="C80" t="s">
        <v>55</v>
      </c>
      <c r="D80">
        <v>6</v>
      </c>
      <c r="E80" t="s">
        <v>93</v>
      </c>
      <c r="F80">
        <v>2</v>
      </c>
      <c r="G80" t="s">
        <v>60</v>
      </c>
      <c r="H80" t="s">
        <v>69</v>
      </c>
      <c r="I80" t="s">
        <v>59</v>
      </c>
      <c r="J80" t="s">
        <v>32</v>
      </c>
      <c r="K80">
        <v>220</v>
      </c>
    </row>
    <row r="81" spans="1:11" x14ac:dyDescent="0.25">
      <c r="A81" s="2">
        <v>38534</v>
      </c>
      <c r="B81">
        <v>3</v>
      </c>
      <c r="C81" t="s">
        <v>55</v>
      </c>
      <c r="D81">
        <v>6</v>
      </c>
      <c r="E81" t="s">
        <v>93</v>
      </c>
      <c r="F81">
        <v>2</v>
      </c>
      <c r="G81" t="s">
        <v>60</v>
      </c>
      <c r="H81" t="s">
        <v>70</v>
      </c>
      <c r="I81" t="s">
        <v>59</v>
      </c>
      <c r="J81" t="s">
        <v>32</v>
      </c>
      <c r="K81">
        <v>100</v>
      </c>
    </row>
    <row r="82" spans="1:11" x14ac:dyDescent="0.25">
      <c r="A82" s="2">
        <v>38534</v>
      </c>
      <c r="B82">
        <v>3</v>
      </c>
      <c r="C82" t="s">
        <v>55</v>
      </c>
      <c r="D82">
        <v>6</v>
      </c>
      <c r="E82" t="s">
        <v>93</v>
      </c>
      <c r="F82">
        <v>1</v>
      </c>
      <c r="G82" t="s">
        <v>57</v>
      </c>
      <c r="H82" t="s">
        <v>70</v>
      </c>
      <c r="I82" t="s">
        <v>59</v>
      </c>
      <c r="J82" t="s">
        <v>32</v>
      </c>
      <c r="K82">
        <v>96</v>
      </c>
    </row>
    <row r="83" spans="1:11" x14ac:dyDescent="0.25">
      <c r="A83" s="2">
        <v>38534</v>
      </c>
      <c r="B83">
        <v>3</v>
      </c>
      <c r="C83" t="s">
        <v>55</v>
      </c>
      <c r="D83">
        <v>6</v>
      </c>
      <c r="E83" t="s">
        <v>93</v>
      </c>
      <c r="F83">
        <v>1</v>
      </c>
      <c r="G83" t="s">
        <v>57</v>
      </c>
      <c r="H83" t="s">
        <v>71</v>
      </c>
      <c r="I83" t="s">
        <v>59</v>
      </c>
      <c r="J83" t="s">
        <v>32</v>
      </c>
      <c r="K83">
        <v>486</v>
      </c>
    </row>
    <row r="84" spans="1:11" x14ac:dyDescent="0.25">
      <c r="A84" s="2">
        <v>38534</v>
      </c>
      <c r="B84">
        <v>3</v>
      </c>
      <c r="C84" t="s">
        <v>55</v>
      </c>
      <c r="D84">
        <v>6</v>
      </c>
      <c r="E84" t="s">
        <v>93</v>
      </c>
      <c r="F84">
        <v>2</v>
      </c>
      <c r="G84" t="s">
        <v>60</v>
      </c>
      <c r="H84" t="s">
        <v>71</v>
      </c>
      <c r="I84" t="s">
        <v>59</v>
      </c>
      <c r="J84" t="s">
        <v>32</v>
      </c>
      <c r="K84">
        <v>750</v>
      </c>
    </row>
    <row r="85" spans="1:11" x14ac:dyDescent="0.25">
      <c r="A85" s="2">
        <v>38534</v>
      </c>
      <c r="B85">
        <v>3</v>
      </c>
      <c r="C85" t="s">
        <v>55</v>
      </c>
      <c r="D85">
        <v>6</v>
      </c>
      <c r="E85" t="s">
        <v>93</v>
      </c>
      <c r="F85">
        <v>2</v>
      </c>
      <c r="G85" t="s">
        <v>60</v>
      </c>
      <c r="H85" t="s">
        <v>72</v>
      </c>
      <c r="I85" t="s">
        <v>59</v>
      </c>
      <c r="J85" t="s">
        <v>32</v>
      </c>
      <c r="K85">
        <v>380</v>
      </c>
    </row>
    <row r="86" spans="1:11" x14ac:dyDescent="0.25">
      <c r="A86" s="2">
        <v>38534</v>
      </c>
      <c r="B86">
        <v>3</v>
      </c>
      <c r="C86" t="s">
        <v>55</v>
      </c>
      <c r="D86">
        <v>6</v>
      </c>
      <c r="E86" t="s">
        <v>93</v>
      </c>
      <c r="F86">
        <v>1</v>
      </c>
      <c r="G86" t="s">
        <v>57</v>
      </c>
      <c r="H86" t="s">
        <v>72</v>
      </c>
      <c r="I86" t="s">
        <v>59</v>
      </c>
      <c r="J86" t="s">
        <v>32</v>
      </c>
      <c r="K86">
        <v>346</v>
      </c>
    </row>
    <row r="87" spans="1:11" x14ac:dyDescent="0.25">
      <c r="A87" s="2">
        <v>38534</v>
      </c>
      <c r="B87">
        <v>3</v>
      </c>
      <c r="C87" t="s">
        <v>55</v>
      </c>
      <c r="D87">
        <v>6</v>
      </c>
      <c r="E87" t="s">
        <v>93</v>
      </c>
      <c r="F87">
        <v>1</v>
      </c>
      <c r="G87" t="s">
        <v>57</v>
      </c>
      <c r="H87" t="s">
        <v>73</v>
      </c>
      <c r="I87" t="s">
        <v>59</v>
      </c>
      <c r="J87" t="s">
        <v>32</v>
      </c>
      <c r="K87">
        <v>113</v>
      </c>
    </row>
    <row r="88" spans="1:11" x14ac:dyDescent="0.25">
      <c r="A88" s="2">
        <v>38534</v>
      </c>
      <c r="B88">
        <v>3</v>
      </c>
      <c r="C88" t="s">
        <v>55</v>
      </c>
      <c r="D88">
        <v>6</v>
      </c>
      <c r="E88" t="s">
        <v>93</v>
      </c>
      <c r="F88">
        <v>2</v>
      </c>
      <c r="G88" t="s">
        <v>60</v>
      </c>
      <c r="H88" t="s">
        <v>73</v>
      </c>
      <c r="I88" t="s">
        <v>59</v>
      </c>
      <c r="J88" t="s">
        <v>32</v>
      </c>
      <c r="K88">
        <v>100</v>
      </c>
    </row>
    <row r="89" spans="1:11" x14ac:dyDescent="0.25">
      <c r="A89" s="2">
        <v>38534</v>
      </c>
      <c r="B89">
        <v>3</v>
      </c>
      <c r="C89" t="s">
        <v>55</v>
      </c>
      <c r="D89">
        <v>6</v>
      </c>
      <c r="E89" t="s">
        <v>93</v>
      </c>
      <c r="F89">
        <v>2</v>
      </c>
      <c r="G89" t="s">
        <v>60</v>
      </c>
      <c r="H89" t="s">
        <v>74</v>
      </c>
      <c r="I89" t="s">
        <v>59</v>
      </c>
      <c r="J89" t="s">
        <v>32</v>
      </c>
      <c r="K89">
        <v>380</v>
      </c>
    </row>
    <row r="90" spans="1:11" x14ac:dyDescent="0.25">
      <c r="A90" s="2">
        <v>38534</v>
      </c>
      <c r="B90">
        <v>3</v>
      </c>
      <c r="C90" t="s">
        <v>55</v>
      </c>
      <c r="D90">
        <v>6</v>
      </c>
      <c r="E90" t="s">
        <v>93</v>
      </c>
      <c r="F90">
        <v>1</v>
      </c>
      <c r="G90" t="s">
        <v>57</v>
      </c>
      <c r="H90" t="s">
        <v>74</v>
      </c>
      <c r="I90" t="s">
        <v>59</v>
      </c>
      <c r="J90" t="s">
        <v>32</v>
      </c>
      <c r="K90">
        <v>449</v>
      </c>
    </row>
    <row r="91" spans="1:11" x14ac:dyDescent="0.25">
      <c r="A91" s="2">
        <v>38534</v>
      </c>
      <c r="B91">
        <v>3</v>
      </c>
      <c r="C91" t="s">
        <v>55</v>
      </c>
      <c r="D91">
        <v>6</v>
      </c>
      <c r="E91" t="s">
        <v>93</v>
      </c>
      <c r="F91">
        <v>1</v>
      </c>
      <c r="G91" t="s">
        <v>57</v>
      </c>
      <c r="H91" t="s">
        <v>75</v>
      </c>
      <c r="I91" t="s">
        <v>59</v>
      </c>
      <c r="J91" t="s">
        <v>32</v>
      </c>
      <c r="K91">
        <v>278</v>
      </c>
    </row>
    <row r="92" spans="1:11" x14ac:dyDescent="0.25">
      <c r="A92" s="2">
        <v>38534</v>
      </c>
      <c r="B92">
        <v>3</v>
      </c>
      <c r="C92" t="s">
        <v>55</v>
      </c>
      <c r="D92">
        <v>6</v>
      </c>
      <c r="E92" t="s">
        <v>93</v>
      </c>
      <c r="F92">
        <v>2</v>
      </c>
      <c r="G92" t="s">
        <v>60</v>
      </c>
      <c r="H92" t="s">
        <v>75</v>
      </c>
      <c r="I92" t="s">
        <v>59</v>
      </c>
      <c r="J92" t="s">
        <v>32</v>
      </c>
      <c r="K92">
        <v>280</v>
      </c>
    </row>
    <row r="93" spans="1:11" x14ac:dyDescent="0.25">
      <c r="A93" s="2">
        <v>38534</v>
      </c>
      <c r="B93">
        <v>3</v>
      </c>
      <c r="C93" t="s">
        <v>55</v>
      </c>
      <c r="D93">
        <v>6</v>
      </c>
      <c r="E93" t="s">
        <v>93</v>
      </c>
      <c r="F93">
        <v>2</v>
      </c>
      <c r="G93" t="s">
        <v>60</v>
      </c>
      <c r="H93" t="s">
        <v>76</v>
      </c>
      <c r="I93" t="s">
        <v>59</v>
      </c>
      <c r="J93" t="s">
        <v>32</v>
      </c>
      <c r="K93">
        <v>30</v>
      </c>
    </row>
    <row r="94" spans="1:11" x14ac:dyDescent="0.25">
      <c r="A94" s="2">
        <v>38534</v>
      </c>
      <c r="B94">
        <v>3</v>
      </c>
      <c r="C94" t="s">
        <v>55</v>
      </c>
      <c r="D94">
        <v>6</v>
      </c>
      <c r="E94" t="s">
        <v>93</v>
      </c>
      <c r="F94">
        <v>1</v>
      </c>
      <c r="G94" t="s">
        <v>57</v>
      </c>
      <c r="H94" t="s">
        <v>76</v>
      </c>
      <c r="I94" t="s">
        <v>59</v>
      </c>
      <c r="J94" t="s">
        <v>32</v>
      </c>
      <c r="K94">
        <v>29</v>
      </c>
    </row>
    <row r="95" spans="1:11" x14ac:dyDescent="0.25">
      <c r="A95" s="2">
        <v>38534</v>
      </c>
      <c r="B95">
        <v>3</v>
      </c>
      <c r="C95" t="s">
        <v>55</v>
      </c>
      <c r="D95">
        <v>6</v>
      </c>
      <c r="E95" t="s">
        <v>93</v>
      </c>
      <c r="F95">
        <v>1</v>
      </c>
      <c r="G95" t="s">
        <v>57</v>
      </c>
      <c r="H95" t="s">
        <v>77</v>
      </c>
      <c r="I95" t="s">
        <v>59</v>
      </c>
      <c r="J95" t="s">
        <v>32</v>
      </c>
      <c r="K95">
        <v>102</v>
      </c>
    </row>
    <row r="96" spans="1:11" x14ac:dyDescent="0.25">
      <c r="A96" s="2">
        <v>38534</v>
      </c>
      <c r="B96">
        <v>3</v>
      </c>
      <c r="C96" t="s">
        <v>55</v>
      </c>
      <c r="D96">
        <v>6</v>
      </c>
      <c r="E96" t="s">
        <v>93</v>
      </c>
      <c r="F96">
        <v>2</v>
      </c>
      <c r="G96" t="s">
        <v>60</v>
      </c>
      <c r="H96" t="s">
        <v>77</v>
      </c>
      <c r="I96" t="s">
        <v>59</v>
      </c>
      <c r="J96" t="s">
        <v>32</v>
      </c>
      <c r="K96">
        <v>90</v>
      </c>
    </row>
    <row r="97" spans="1:11" x14ac:dyDescent="0.25">
      <c r="A97" s="2">
        <v>38534</v>
      </c>
      <c r="B97">
        <v>3</v>
      </c>
      <c r="C97" t="s">
        <v>55</v>
      </c>
      <c r="D97">
        <v>6</v>
      </c>
      <c r="E97" t="s">
        <v>93</v>
      </c>
      <c r="F97">
        <v>2</v>
      </c>
      <c r="G97" t="s">
        <v>60</v>
      </c>
      <c r="H97" t="s">
        <v>78</v>
      </c>
      <c r="I97" t="s">
        <v>59</v>
      </c>
      <c r="J97" t="s">
        <v>32</v>
      </c>
      <c r="K97">
        <v>80</v>
      </c>
    </row>
    <row r="98" spans="1:11" x14ac:dyDescent="0.25">
      <c r="A98" s="2">
        <v>38534</v>
      </c>
      <c r="B98">
        <v>3</v>
      </c>
      <c r="C98" t="s">
        <v>55</v>
      </c>
      <c r="D98">
        <v>6</v>
      </c>
      <c r="E98" t="s">
        <v>93</v>
      </c>
      <c r="F98">
        <v>1</v>
      </c>
      <c r="G98" t="s">
        <v>57</v>
      </c>
      <c r="H98" t="s">
        <v>78</v>
      </c>
      <c r="I98" t="s">
        <v>59</v>
      </c>
      <c r="J98" t="s">
        <v>32</v>
      </c>
      <c r="K98">
        <v>92</v>
      </c>
    </row>
    <row r="99" spans="1:11" x14ac:dyDescent="0.25">
      <c r="A99" s="2">
        <v>38534</v>
      </c>
      <c r="B99">
        <v>3</v>
      </c>
      <c r="C99" t="s">
        <v>55</v>
      </c>
      <c r="D99">
        <v>6</v>
      </c>
      <c r="E99" t="s">
        <v>93</v>
      </c>
      <c r="F99">
        <v>1</v>
      </c>
      <c r="G99" t="s">
        <v>57</v>
      </c>
      <c r="H99" t="s">
        <v>79</v>
      </c>
      <c r="I99" t="s">
        <v>59</v>
      </c>
      <c r="J99" t="s">
        <v>32</v>
      </c>
      <c r="K99">
        <v>82</v>
      </c>
    </row>
    <row r="100" spans="1:11" x14ac:dyDescent="0.25">
      <c r="A100" s="2">
        <v>38534</v>
      </c>
      <c r="B100">
        <v>3</v>
      </c>
      <c r="C100" t="s">
        <v>55</v>
      </c>
      <c r="D100">
        <v>6</v>
      </c>
      <c r="E100" t="s">
        <v>93</v>
      </c>
      <c r="F100">
        <v>2</v>
      </c>
      <c r="G100" t="s">
        <v>60</v>
      </c>
      <c r="H100" t="s">
        <v>79</v>
      </c>
      <c r="I100" t="s">
        <v>59</v>
      </c>
      <c r="J100" t="s">
        <v>32</v>
      </c>
      <c r="K100">
        <v>80</v>
      </c>
    </row>
    <row r="101" spans="1:11" x14ac:dyDescent="0.25">
      <c r="A101" s="2">
        <v>38534</v>
      </c>
      <c r="B101">
        <v>3</v>
      </c>
      <c r="C101" t="s">
        <v>55</v>
      </c>
      <c r="D101">
        <v>6</v>
      </c>
      <c r="E101" t="s">
        <v>93</v>
      </c>
      <c r="F101">
        <v>2</v>
      </c>
      <c r="G101" t="s">
        <v>60</v>
      </c>
      <c r="H101" t="s">
        <v>80</v>
      </c>
      <c r="I101" t="s">
        <v>59</v>
      </c>
      <c r="J101" t="s">
        <v>32</v>
      </c>
      <c r="K101">
        <v>380</v>
      </c>
    </row>
    <row r="102" spans="1:11" x14ac:dyDescent="0.25">
      <c r="A102" s="2">
        <v>38534</v>
      </c>
      <c r="B102">
        <v>3</v>
      </c>
      <c r="C102" t="s">
        <v>55</v>
      </c>
      <c r="D102">
        <v>6</v>
      </c>
      <c r="E102" t="s">
        <v>93</v>
      </c>
      <c r="F102">
        <v>1</v>
      </c>
      <c r="G102" t="s">
        <v>57</v>
      </c>
      <c r="H102" t="s">
        <v>80</v>
      </c>
      <c r="I102" t="s">
        <v>59</v>
      </c>
      <c r="J102" t="s">
        <v>32</v>
      </c>
      <c r="K102">
        <v>360</v>
      </c>
    </row>
    <row r="103" spans="1:11" x14ac:dyDescent="0.25">
      <c r="A103" s="2">
        <v>38534</v>
      </c>
      <c r="B103">
        <v>3</v>
      </c>
      <c r="C103" t="s">
        <v>55</v>
      </c>
      <c r="D103">
        <v>6</v>
      </c>
      <c r="E103" t="s">
        <v>93</v>
      </c>
      <c r="F103">
        <v>1</v>
      </c>
      <c r="G103" t="s">
        <v>57</v>
      </c>
      <c r="H103" t="s">
        <v>81</v>
      </c>
      <c r="I103" t="s">
        <v>82</v>
      </c>
      <c r="J103" t="s">
        <v>32</v>
      </c>
      <c r="K103">
        <v>179</v>
      </c>
    </row>
    <row r="104" spans="1:11" x14ac:dyDescent="0.25">
      <c r="A104" s="2">
        <v>38534</v>
      </c>
      <c r="B104">
        <v>3</v>
      </c>
      <c r="C104" t="s">
        <v>55</v>
      </c>
      <c r="D104">
        <v>6</v>
      </c>
      <c r="E104" t="s">
        <v>93</v>
      </c>
      <c r="F104">
        <v>1</v>
      </c>
      <c r="G104" t="s">
        <v>57</v>
      </c>
      <c r="H104" t="s">
        <v>83</v>
      </c>
      <c r="I104" t="s">
        <v>59</v>
      </c>
      <c r="J104" t="s">
        <v>32</v>
      </c>
      <c r="K104">
        <v>276</v>
      </c>
    </row>
    <row r="105" spans="1:11" x14ac:dyDescent="0.25">
      <c r="A105" s="2">
        <v>38534</v>
      </c>
      <c r="B105">
        <v>3</v>
      </c>
      <c r="C105" t="s">
        <v>55</v>
      </c>
      <c r="D105">
        <v>6</v>
      </c>
      <c r="E105" t="s">
        <v>93</v>
      </c>
      <c r="F105">
        <v>1</v>
      </c>
      <c r="G105" t="s">
        <v>57</v>
      </c>
      <c r="H105" t="s">
        <v>84</v>
      </c>
      <c r="I105" t="s">
        <v>82</v>
      </c>
      <c r="J105" t="s">
        <v>32</v>
      </c>
      <c r="K105">
        <v>-221</v>
      </c>
    </row>
    <row r="106" spans="1:11" x14ac:dyDescent="0.25">
      <c r="A106" s="2">
        <v>38534</v>
      </c>
      <c r="B106">
        <v>3</v>
      </c>
      <c r="C106" t="s">
        <v>55</v>
      </c>
      <c r="D106">
        <v>6</v>
      </c>
      <c r="E106" t="s">
        <v>93</v>
      </c>
      <c r="F106">
        <v>1</v>
      </c>
      <c r="G106" t="s">
        <v>57</v>
      </c>
      <c r="H106" t="s">
        <v>85</v>
      </c>
      <c r="I106" t="s">
        <v>82</v>
      </c>
      <c r="J106" t="s">
        <v>32</v>
      </c>
      <c r="K106">
        <v>368</v>
      </c>
    </row>
    <row r="107" spans="1:11" x14ac:dyDescent="0.25">
      <c r="A107" s="2">
        <v>38534</v>
      </c>
      <c r="B107">
        <v>3</v>
      </c>
      <c r="C107" t="s">
        <v>55</v>
      </c>
      <c r="D107">
        <v>6</v>
      </c>
      <c r="E107" t="s">
        <v>93</v>
      </c>
      <c r="F107">
        <v>1</v>
      </c>
      <c r="G107" t="s">
        <v>57</v>
      </c>
      <c r="H107" t="s">
        <v>86</v>
      </c>
      <c r="I107" t="s">
        <v>59</v>
      </c>
      <c r="J107" t="s">
        <v>32</v>
      </c>
      <c r="K107">
        <v>3642</v>
      </c>
    </row>
    <row r="108" spans="1:11" x14ac:dyDescent="0.25">
      <c r="A108" s="2">
        <v>38534</v>
      </c>
      <c r="B108">
        <v>3</v>
      </c>
      <c r="C108" t="s">
        <v>55</v>
      </c>
      <c r="D108">
        <v>6</v>
      </c>
      <c r="E108" t="s">
        <v>93</v>
      </c>
      <c r="F108">
        <v>1</v>
      </c>
      <c r="G108" t="s">
        <v>57</v>
      </c>
      <c r="H108" t="s">
        <v>87</v>
      </c>
      <c r="I108" t="s">
        <v>88</v>
      </c>
      <c r="J108" t="s">
        <v>89</v>
      </c>
      <c r="K108">
        <v>8</v>
      </c>
    </row>
    <row r="109" spans="1:11" x14ac:dyDescent="0.25">
      <c r="A109" s="2">
        <v>38534</v>
      </c>
      <c r="B109">
        <v>3</v>
      </c>
      <c r="C109" t="s">
        <v>55</v>
      </c>
      <c r="D109">
        <v>6</v>
      </c>
      <c r="E109" t="s">
        <v>93</v>
      </c>
      <c r="F109">
        <v>1</v>
      </c>
      <c r="G109" t="s">
        <v>57</v>
      </c>
      <c r="H109" t="s">
        <v>89</v>
      </c>
      <c r="I109" t="s">
        <v>100</v>
      </c>
      <c r="J109" t="s">
        <v>89</v>
      </c>
      <c r="K109">
        <v>98</v>
      </c>
    </row>
    <row r="110" spans="1:11" x14ac:dyDescent="0.25">
      <c r="A110" s="2">
        <v>38534</v>
      </c>
      <c r="B110">
        <v>3</v>
      </c>
      <c r="C110" t="s">
        <v>55</v>
      </c>
      <c r="D110">
        <v>6</v>
      </c>
      <c r="E110" t="s">
        <v>93</v>
      </c>
      <c r="F110">
        <v>1</v>
      </c>
      <c r="G110" t="s">
        <v>57</v>
      </c>
      <c r="H110" t="s">
        <v>101</v>
      </c>
      <c r="I110" t="s">
        <v>88</v>
      </c>
      <c r="J110" t="s">
        <v>89</v>
      </c>
      <c r="K110">
        <v>45000</v>
      </c>
    </row>
    <row r="111" spans="1:11" x14ac:dyDescent="0.25">
      <c r="A111" s="2">
        <v>38534</v>
      </c>
      <c r="B111">
        <v>3</v>
      </c>
      <c r="C111" t="s">
        <v>55</v>
      </c>
      <c r="D111">
        <v>6</v>
      </c>
      <c r="E111" t="s">
        <v>93</v>
      </c>
      <c r="F111">
        <v>1</v>
      </c>
      <c r="G111" t="s">
        <v>57</v>
      </c>
      <c r="H111" t="s">
        <v>102</v>
      </c>
      <c r="I111" t="s">
        <v>82</v>
      </c>
      <c r="J111" t="s">
        <v>32</v>
      </c>
      <c r="K111">
        <v>76475</v>
      </c>
    </row>
    <row r="112" spans="1:11" x14ac:dyDescent="0.25">
      <c r="A112" s="2">
        <v>38534</v>
      </c>
      <c r="B112">
        <v>3</v>
      </c>
      <c r="C112" t="s">
        <v>55</v>
      </c>
      <c r="D112">
        <v>6</v>
      </c>
      <c r="E112" t="s">
        <v>93</v>
      </c>
      <c r="F112">
        <v>2</v>
      </c>
      <c r="G112" t="s">
        <v>60</v>
      </c>
      <c r="H112" t="s">
        <v>102</v>
      </c>
      <c r="I112" t="s">
        <v>82</v>
      </c>
      <c r="J112" t="s">
        <v>32</v>
      </c>
      <c r="K112">
        <v>91800</v>
      </c>
    </row>
    <row r="113" spans="1:11" x14ac:dyDescent="0.25">
      <c r="A113" s="2">
        <v>38534</v>
      </c>
      <c r="B113">
        <v>3</v>
      </c>
      <c r="C113" t="s">
        <v>55</v>
      </c>
      <c r="D113">
        <v>7</v>
      </c>
      <c r="E113" t="s">
        <v>103</v>
      </c>
      <c r="F113">
        <v>1</v>
      </c>
      <c r="G113" t="s">
        <v>57</v>
      </c>
      <c r="H113" t="s">
        <v>104</v>
      </c>
      <c r="I113" t="s">
        <v>92</v>
      </c>
      <c r="J113" t="s">
        <v>32</v>
      </c>
      <c r="K113">
        <v>76978</v>
      </c>
    </row>
    <row r="114" spans="1:11" x14ac:dyDescent="0.25">
      <c r="A114" s="2">
        <v>38534</v>
      </c>
      <c r="B114">
        <v>3</v>
      </c>
      <c r="C114" t="s">
        <v>55</v>
      </c>
      <c r="D114">
        <v>7</v>
      </c>
      <c r="E114" t="s">
        <v>103</v>
      </c>
      <c r="F114">
        <v>1</v>
      </c>
      <c r="G114" t="s">
        <v>57</v>
      </c>
      <c r="H114" t="s">
        <v>105</v>
      </c>
      <c r="I114" t="s">
        <v>92</v>
      </c>
      <c r="J114" t="s">
        <v>32</v>
      </c>
      <c r="K114">
        <v>124391</v>
      </c>
    </row>
    <row r="115" spans="1:11" x14ac:dyDescent="0.25">
      <c r="A115" s="2">
        <v>38534</v>
      </c>
      <c r="B115">
        <v>3</v>
      </c>
      <c r="C115" t="s">
        <v>55</v>
      </c>
      <c r="D115">
        <v>7</v>
      </c>
      <c r="E115" t="s">
        <v>103</v>
      </c>
      <c r="F115">
        <v>1</v>
      </c>
      <c r="G115" t="s">
        <v>57</v>
      </c>
      <c r="H115" t="s">
        <v>106</v>
      </c>
      <c r="I115" t="s">
        <v>92</v>
      </c>
      <c r="J115" t="s">
        <v>32</v>
      </c>
      <c r="K115">
        <v>3556</v>
      </c>
    </row>
    <row r="116" spans="1:11" x14ac:dyDescent="0.25">
      <c r="A116" s="2">
        <v>38534</v>
      </c>
      <c r="B116">
        <v>3</v>
      </c>
      <c r="C116" t="s">
        <v>55</v>
      </c>
      <c r="D116">
        <v>7</v>
      </c>
      <c r="E116" t="s">
        <v>103</v>
      </c>
      <c r="F116">
        <v>1</v>
      </c>
      <c r="G116" t="s">
        <v>57</v>
      </c>
      <c r="H116" t="s">
        <v>107</v>
      </c>
      <c r="I116" t="s">
        <v>92</v>
      </c>
      <c r="J116" t="s">
        <v>32</v>
      </c>
      <c r="K116">
        <v>2487</v>
      </c>
    </row>
    <row r="117" spans="1:11" x14ac:dyDescent="0.25">
      <c r="A117" s="2">
        <v>38534</v>
      </c>
      <c r="B117">
        <v>3</v>
      </c>
      <c r="C117" t="s">
        <v>55</v>
      </c>
      <c r="D117">
        <v>7</v>
      </c>
      <c r="E117" t="s">
        <v>103</v>
      </c>
      <c r="F117">
        <v>1</v>
      </c>
      <c r="G117" t="s">
        <v>57</v>
      </c>
      <c r="H117" t="s">
        <v>108</v>
      </c>
      <c r="I117" t="s">
        <v>92</v>
      </c>
      <c r="J117" t="s">
        <v>32</v>
      </c>
      <c r="K117">
        <v>19218</v>
      </c>
    </row>
    <row r="118" spans="1:11" x14ac:dyDescent="0.25">
      <c r="A118" s="2">
        <v>38534</v>
      </c>
      <c r="B118">
        <v>3</v>
      </c>
      <c r="C118" t="s">
        <v>55</v>
      </c>
      <c r="D118">
        <v>7</v>
      </c>
      <c r="E118" t="s">
        <v>103</v>
      </c>
      <c r="F118">
        <v>1</v>
      </c>
      <c r="G118" t="s">
        <v>57</v>
      </c>
      <c r="H118" t="s">
        <v>109</v>
      </c>
      <c r="I118" t="s">
        <v>92</v>
      </c>
      <c r="J118" t="s">
        <v>32</v>
      </c>
      <c r="K118">
        <v>12687</v>
      </c>
    </row>
    <row r="119" spans="1:11" x14ac:dyDescent="0.25">
      <c r="A119" s="2">
        <v>38534</v>
      </c>
      <c r="B119">
        <v>3</v>
      </c>
      <c r="C119" t="s">
        <v>55</v>
      </c>
      <c r="D119">
        <v>7</v>
      </c>
      <c r="E119" t="s">
        <v>103</v>
      </c>
      <c r="F119">
        <v>1</v>
      </c>
      <c r="G119" t="s">
        <v>57</v>
      </c>
      <c r="H119" t="s">
        <v>110</v>
      </c>
      <c r="I119" t="s">
        <v>92</v>
      </c>
      <c r="J119" t="s">
        <v>32</v>
      </c>
      <c r="K119">
        <v>23136</v>
      </c>
    </row>
    <row r="120" spans="1:11" x14ac:dyDescent="0.25">
      <c r="A120" s="2">
        <v>38534</v>
      </c>
      <c r="B120">
        <v>3</v>
      </c>
      <c r="C120" t="s">
        <v>55</v>
      </c>
      <c r="D120">
        <v>7</v>
      </c>
      <c r="E120" t="s">
        <v>103</v>
      </c>
      <c r="F120">
        <v>1</v>
      </c>
      <c r="G120" t="s">
        <v>57</v>
      </c>
      <c r="H120" t="s">
        <v>111</v>
      </c>
      <c r="I120" t="s">
        <v>92</v>
      </c>
      <c r="J120" t="s">
        <v>32</v>
      </c>
      <c r="K120">
        <v>13720</v>
      </c>
    </row>
    <row r="121" spans="1:11" x14ac:dyDescent="0.25">
      <c r="A121" s="2">
        <v>38534</v>
      </c>
      <c r="B121">
        <v>3</v>
      </c>
      <c r="C121" t="s">
        <v>55</v>
      </c>
      <c r="D121">
        <v>7</v>
      </c>
      <c r="E121" t="s">
        <v>103</v>
      </c>
      <c r="F121">
        <v>1</v>
      </c>
      <c r="G121" t="s">
        <v>57</v>
      </c>
      <c r="H121" t="s">
        <v>112</v>
      </c>
      <c r="I121" t="s">
        <v>92</v>
      </c>
      <c r="J121" t="s">
        <v>32</v>
      </c>
      <c r="K121">
        <v>43720</v>
      </c>
    </row>
    <row r="122" spans="1:11" x14ac:dyDescent="0.25">
      <c r="A122" s="2">
        <v>38534</v>
      </c>
      <c r="B122">
        <v>3</v>
      </c>
      <c r="C122" t="s">
        <v>55</v>
      </c>
      <c r="D122">
        <v>7</v>
      </c>
      <c r="E122" t="s">
        <v>103</v>
      </c>
      <c r="F122">
        <v>1</v>
      </c>
      <c r="G122" t="s">
        <v>57</v>
      </c>
      <c r="H122" t="s">
        <v>113</v>
      </c>
      <c r="I122" t="s">
        <v>92</v>
      </c>
      <c r="J122" t="s">
        <v>32</v>
      </c>
      <c r="K122">
        <v>13445</v>
      </c>
    </row>
    <row r="123" spans="1:11" x14ac:dyDescent="0.25">
      <c r="A123" s="2">
        <v>38534</v>
      </c>
      <c r="B123">
        <v>3</v>
      </c>
      <c r="C123" t="s">
        <v>55</v>
      </c>
      <c r="D123">
        <v>7</v>
      </c>
      <c r="E123" t="s">
        <v>103</v>
      </c>
      <c r="F123">
        <v>1</v>
      </c>
      <c r="G123" t="s">
        <v>57</v>
      </c>
      <c r="H123" t="s">
        <v>114</v>
      </c>
      <c r="I123" t="s">
        <v>92</v>
      </c>
      <c r="J123" t="s">
        <v>32</v>
      </c>
      <c r="K123">
        <v>59754</v>
      </c>
    </row>
    <row r="124" spans="1:11" x14ac:dyDescent="0.25">
      <c r="A124" s="2">
        <v>38534</v>
      </c>
      <c r="B124">
        <v>3</v>
      </c>
      <c r="C124" t="s">
        <v>55</v>
      </c>
      <c r="D124">
        <v>7</v>
      </c>
      <c r="E124" t="s">
        <v>103</v>
      </c>
      <c r="F124">
        <v>1</v>
      </c>
      <c r="G124" t="s">
        <v>57</v>
      </c>
      <c r="H124" t="s">
        <v>115</v>
      </c>
      <c r="I124" t="s">
        <v>92</v>
      </c>
      <c r="J124" t="s">
        <v>32</v>
      </c>
      <c r="K124">
        <v>11887</v>
      </c>
    </row>
    <row r="125" spans="1:11" x14ac:dyDescent="0.25">
      <c r="A125" s="2">
        <v>38534</v>
      </c>
      <c r="B125">
        <v>3</v>
      </c>
      <c r="C125" t="s">
        <v>55</v>
      </c>
      <c r="D125">
        <v>7</v>
      </c>
      <c r="E125" t="s">
        <v>103</v>
      </c>
      <c r="F125">
        <v>1</v>
      </c>
      <c r="G125" t="s">
        <v>57</v>
      </c>
      <c r="H125" t="s">
        <v>116</v>
      </c>
      <c r="I125" t="s">
        <v>92</v>
      </c>
      <c r="J125" t="s">
        <v>32</v>
      </c>
      <c r="K125">
        <v>4908</v>
      </c>
    </row>
    <row r="126" spans="1:11" x14ac:dyDescent="0.25">
      <c r="A126" s="2">
        <v>38534</v>
      </c>
      <c r="B126">
        <v>3</v>
      </c>
      <c r="C126" t="s">
        <v>55</v>
      </c>
      <c r="D126">
        <v>7</v>
      </c>
      <c r="E126" t="s">
        <v>103</v>
      </c>
      <c r="F126">
        <v>1</v>
      </c>
      <c r="G126" t="s">
        <v>57</v>
      </c>
      <c r="H126" t="s">
        <v>78</v>
      </c>
      <c r="I126" t="s">
        <v>92</v>
      </c>
      <c r="J126" t="s">
        <v>32</v>
      </c>
      <c r="K126">
        <v>23894</v>
      </c>
    </row>
    <row r="127" spans="1:11" x14ac:dyDescent="0.25">
      <c r="A127" s="2">
        <v>38534</v>
      </c>
      <c r="B127">
        <v>3</v>
      </c>
      <c r="C127" t="s">
        <v>55</v>
      </c>
      <c r="D127">
        <v>7</v>
      </c>
      <c r="E127" t="s">
        <v>103</v>
      </c>
      <c r="F127">
        <v>1</v>
      </c>
      <c r="G127" t="s">
        <v>57</v>
      </c>
      <c r="H127" t="s">
        <v>117</v>
      </c>
      <c r="I127" t="s">
        <v>118</v>
      </c>
      <c r="J127" t="s">
        <v>32</v>
      </c>
      <c r="K127">
        <v>20246</v>
      </c>
    </row>
    <row r="128" spans="1:11" x14ac:dyDescent="0.25">
      <c r="A128" s="2">
        <v>38534</v>
      </c>
      <c r="B128">
        <v>3</v>
      </c>
      <c r="C128" t="s">
        <v>55</v>
      </c>
      <c r="D128">
        <v>7</v>
      </c>
      <c r="E128" t="s">
        <v>103</v>
      </c>
      <c r="F128">
        <v>1</v>
      </c>
      <c r="G128" t="s">
        <v>57</v>
      </c>
      <c r="H128" t="s">
        <v>119</v>
      </c>
      <c r="I128" t="s">
        <v>118</v>
      </c>
      <c r="J128" t="s">
        <v>32</v>
      </c>
      <c r="K128">
        <v>175368</v>
      </c>
    </row>
    <row r="129" spans="1:11" x14ac:dyDescent="0.25">
      <c r="A129" s="2">
        <v>38534</v>
      </c>
      <c r="B129">
        <v>3</v>
      </c>
      <c r="C129" t="s">
        <v>55</v>
      </c>
      <c r="D129">
        <v>7</v>
      </c>
      <c r="E129" t="s">
        <v>103</v>
      </c>
      <c r="F129">
        <v>1</v>
      </c>
      <c r="G129" t="s">
        <v>57</v>
      </c>
      <c r="H129" t="s">
        <v>120</v>
      </c>
      <c r="I129" t="s">
        <v>118</v>
      </c>
      <c r="J129" t="s">
        <v>32</v>
      </c>
      <c r="K129">
        <v>55708</v>
      </c>
    </row>
    <row r="130" spans="1:11" x14ac:dyDescent="0.25">
      <c r="A130" s="2">
        <v>38534</v>
      </c>
      <c r="B130">
        <v>3</v>
      </c>
      <c r="C130" t="s">
        <v>55</v>
      </c>
      <c r="D130">
        <v>7</v>
      </c>
      <c r="E130" t="s">
        <v>103</v>
      </c>
      <c r="F130">
        <v>1</v>
      </c>
      <c r="G130" t="s">
        <v>57</v>
      </c>
      <c r="H130" t="s">
        <v>121</v>
      </c>
      <c r="I130" t="s">
        <v>118</v>
      </c>
      <c r="J130" t="s">
        <v>32</v>
      </c>
      <c r="K130">
        <v>29228</v>
      </c>
    </row>
    <row r="131" spans="1:11" x14ac:dyDescent="0.25">
      <c r="A131" s="2">
        <v>38534</v>
      </c>
      <c r="B131">
        <v>3</v>
      </c>
      <c r="C131" t="s">
        <v>55</v>
      </c>
      <c r="D131">
        <v>7</v>
      </c>
      <c r="E131" t="s">
        <v>103</v>
      </c>
      <c r="F131">
        <v>1</v>
      </c>
      <c r="G131" t="s">
        <v>57</v>
      </c>
      <c r="H131" t="s">
        <v>122</v>
      </c>
      <c r="I131" t="s">
        <v>118</v>
      </c>
      <c r="J131" t="s">
        <v>32</v>
      </c>
      <c r="K131">
        <v>28238</v>
      </c>
    </row>
    <row r="132" spans="1:11" x14ac:dyDescent="0.25">
      <c r="A132" s="2">
        <v>38534</v>
      </c>
      <c r="B132">
        <v>3</v>
      </c>
      <c r="C132" t="s">
        <v>55</v>
      </c>
      <c r="D132">
        <v>7</v>
      </c>
      <c r="E132" t="s">
        <v>103</v>
      </c>
      <c r="F132">
        <v>1</v>
      </c>
      <c r="G132" t="s">
        <v>57</v>
      </c>
      <c r="H132" t="s">
        <v>123</v>
      </c>
      <c r="I132" t="s">
        <v>118</v>
      </c>
      <c r="J132" t="s">
        <v>32</v>
      </c>
      <c r="K132">
        <v>9316</v>
      </c>
    </row>
    <row r="133" spans="1:11" x14ac:dyDescent="0.25">
      <c r="A133" s="2">
        <v>38534</v>
      </c>
      <c r="B133">
        <v>3</v>
      </c>
      <c r="C133" t="s">
        <v>55</v>
      </c>
      <c r="D133">
        <v>7</v>
      </c>
      <c r="E133" t="s">
        <v>103</v>
      </c>
      <c r="F133">
        <v>1</v>
      </c>
      <c r="G133" t="s">
        <v>57</v>
      </c>
      <c r="H133" t="s">
        <v>124</v>
      </c>
      <c r="I133" t="s">
        <v>118</v>
      </c>
      <c r="J133" t="s">
        <v>32</v>
      </c>
      <c r="K133">
        <v>42697</v>
      </c>
    </row>
    <row r="134" spans="1:11" x14ac:dyDescent="0.25">
      <c r="A134" s="2">
        <v>38534</v>
      </c>
      <c r="B134">
        <v>3</v>
      </c>
      <c r="C134" t="s">
        <v>55</v>
      </c>
      <c r="D134">
        <v>7</v>
      </c>
      <c r="E134" t="s">
        <v>103</v>
      </c>
      <c r="F134">
        <v>1</v>
      </c>
      <c r="G134" t="s">
        <v>57</v>
      </c>
      <c r="H134" t="s">
        <v>125</v>
      </c>
      <c r="I134" t="s">
        <v>118</v>
      </c>
      <c r="J134" t="s">
        <v>32</v>
      </c>
      <c r="K134">
        <v>33491</v>
      </c>
    </row>
    <row r="135" spans="1:11" x14ac:dyDescent="0.25">
      <c r="A135" s="2">
        <v>38534</v>
      </c>
      <c r="B135">
        <v>3</v>
      </c>
      <c r="C135" t="s">
        <v>55</v>
      </c>
      <c r="D135">
        <v>7</v>
      </c>
      <c r="E135" t="s">
        <v>103</v>
      </c>
      <c r="F135">
        <v>1</v>
      </c>
      <c r="G135" t="s">
        <v>57</v>
      </c>
      <c r="H135" t="s">
        <v>126</v>
      </c>
      <c r="I135" t="s">
        <v>118</v>
      </c>
      <c r="J135" t="s">
        <v>32</v>
      </c>
      <c r="K135">
        <v>36417</v>
      </c>
    </row>
    <row r="136" spans="1:11" x14ac:dyDescent="0.25">
      <c r="A136" s="2">
        <v>38534</v>
      </c>
      <c r="B136">
        <v>3</v>
      </c>
      <c r="C136" t="s">
        <v>55</v>
      </c>
      <c r="D136">
        <v>7</v>
      </c>
      <c r="E136" t="s">
        <v>103</v>
      </c>
      <c r="F136">
        <v>1</v>
      </c>
      <c r="G136" t="s">
        <v>57</v>
      </c>
      <c r="H136" t="s">
        <v>127</v>
      </c>
      <c r="I136" t="s">
        <v>118</v>
      </c>
      <c r="J136" t="s">
        <v>32</v>
      </c>
      <c r="K136">
        <v>55708</v>
      </c>
    </row>
    <row r="137" spans="1:11" x14ac:dyDescent="0.25">
      <c r="A137" s="2">
        <v>38534</v>
      </c>
      <c r="B137">
        <v>3</v>
      </c>
      <c r="C137" t="s">
        <v>55</v>
      </c>
      <c r="D137">
        <v>7</v>
      </c>
      <c r="E137" t="s">
        <v>103</v>
      </c>
      <c r="F137">
        <v>1</v>
      </c>
      <c r="G137" t="s">
        <v>57</v>
      </c>
      <c r="H137" t="s">
        <v>128</v>
      </c>
      <c r="I137" t="s">
        <v>118</v>
      </c>
      <c r="J137" t="s">
        <v>32</v>
      </c>
      <c r="K137">
        <v>29546</v>
      </c>
    </row>
    <row r="138" spans="1:11" x14ac:dyDescent="0.25">
      <c r="A138" s="2">
        <v>38534</v>
      </c>
      <c r="B138">
        <v>3</v>
      </c>
      <c r="C138" t="s">
        <v>55</v>
      </c>
      <c r="D138">
        <v>7</v>
      </c>
      <c r="E138" t="s">
        <v>103</v>
      </c>
      <c r="F138">
        <v>1</v>
      </c>
      <c r="G138" t="s">
        <v>57</v>
      </c>
      <c r="H138" t="s">
        <v>129</v>
      </c>
      <c r="I138" t="s">
        <v>118</v>
      </c>
      <c r="J138" t="s">
        <v>32</v>
      </c>
      <c r="K138">
        <v>350000</v>
      </c>
    </row>
    <row r="139" spans="1:11" x14ac:dyDescent="0.25">
      <c r="A139" s="2">
        <v>38534</v>
      </c>
      <c r="B139">
        <v>3</v>
      </c>
      <c r="C139" t="s">
        <v>55</v>
      </c>
      <c r="D139">
        <v>7</v>
      </c>
      <c r="E139" t="s">
        <v>103</v>
      </c>
      <c r="F139">
        <v>1</v>
      </c>
      <c r="G139" t="s">
        <v>57</v>
      </c>
      <c r="H139" t="s">
        <v>130</v>
      </c>
      <c r="I139" t="s">
        <v>118</v>
      </c>
      <c r="J139" t="s">
        <v>32</v>
      </c>
      <c r="K139">
        <v>-830343.5</v>
      </c>
    </row>
    <row r="140" spans="1:11" x14ac:dyDescent="0.25">
      <c r="A140" s="2">
        <v>38534</v>
      </c>
      <c r="B140">
        <v>3</v>
      </c>
      <c r="C140" t="s">
        <v>55</v>
      </c>
      <c r="D140">
        <v>7</v>
      </c>
      <c r="E140" t="s">
        <v>103</v>
      </c>
      <c r="F140">
        <v>1</v>
      </c>
      <c r="G140" t="s">
        <v>57</v>
      </c>
      <c r="H140" t="s">
        <v>131</v>
      </c>
      <c r="I140" t="s">
        <v>118</v>
      </c>
      <c r="J140" t="s">
        <v>32</v>
      </c>
      <c r="K140">
        <v>423790.5</v>
      </c>
    </row>
    <row r="141" spans="1:11" x14ac:dyDescent="0.25">
      <c r="A141" s="2">
        <v>38534</v>
      </c>
      <c r="B141">
        <v>3</v>
      </c>
      <c r="C141" t="s">
        <v>55</v>
      </c>
      <c r="D141">
        <v>7</v>
      </c>
      <c r="E141" t="s">
        <v>103</v>
      </c>
      <c r="F141">
        <v>1</v>
      </c>
      <c r="G141" t="s">
        <v>57</v>
      </c>
      <c r="H141" t="s">
        <v>132</v>
      </c>
      <c r="I141" t="s">
        <v>118</v>
      </c>
      <c r="J141" t="s">
        <v>32</v>
      </c>
      <c r="K141">
        <v>-25508</v>
      </c>
    </row>
    <row r="142" spans="1:11" x14ac:dyDescent="0.25">
      <c r="A142" s="2">
        <v>38534</v>
      </c>
      <c r="B142">
        <v>3</v>
      </c>
      <c r="C142" t="s">
        <v>55</v>
      </c>
      <c r="D142">
        <v>7</v>
      </c>
      <c r="E142" t="s">
        <v>103</v>
      </c>
      <c r="F142">
        <v>1</v>
      </c>
      <c r="G142" t="s">
        <v>57</v>
      </c>
      <c r="H142" t="s">
        <v>58</v>
      </c>
      <c r="I142" t="s">
        <v>59</v>
      </c>
      <c r="J142" t="s">
        <v>32</v>
      </c>
      <c r="K142">
        <v>5520</v>
      </c>
    </row>
    <row r="143" spans="1:11" x14ac:dyDescent="0.25">
      <c r="A143" s="2">
        <v>38534</v>
      </c>
      <c r="B143">
        <v>3</v>
      </c>
      <c r="C143" t="s">
        <v>55</v>
      </c>
      <c r="D143">
        <v>7</v>
      </c>
      <c r="E143" t="s">
        <v>103</v>
      </c>
      <c r="F143">
        <v>2</v>
      </c>
      <c r="G143" t="s">
        <v>60</v>
      </c>
      <c r="H143" t="s">
        <v>58</v>
      </c>
      <c r="I143" t="s">
        <v>59</v>
      </c>
      <c r="J143" t="s">
        <v>32</v>
      </c>
      <c r="K143">
        <v>5000</v>
      </c>
    </row>
    <row r="144" spans="1:11" x14ac:dyDescent="0.25">
      <c r="A144" s="2">
        <v>38534</v>
      </c>
      <c r="B144">
        <v>3</v>
      </c>
      <c r="C144" t="s">
        <v>55</v>
      </c>
      <c r="D144">
        <v>7</v>
      </c>
      <c r="E144" t="s">
        <v>103</v>
      </c>
      <c r="F144">
        <v>2</v>
      </c>
      <c r="G144" t="s">
        <v>60</v>
      </c>
      <c r="H144" t="s">
        <v>61</v>
      </c>
      <c r="I144" t="s">
        <v>59</v>
      </c>
      <c r="J144" t="s">
        <v>32</v>
      </c>
      <c r="K144">
        <v>480</v>
      </c>
    </row>
    <row r="145" spans="1:11" x14ac:dyDescent="0.25">
      <c r="A145" s="2">
        <v>38534</v>
      </c>
      <c r="B145">
        <v>3</v>
      </c>
      <c r="C145" t="s">
        <v>55</v>
      </c>
      <c r="D145">
        <v>7</v>
      </c>
      <c r="E145" t="s">
        <v>103</v>
      </c>
      <c r="F145">
        <v>1</v>
      </c>
      <c r="G145" t="s">
        <v>57</v>
      </c>
      <c r="H145" t="s">
        <v>61</v>
      </c>
      <c r="I145" t="s">
        <v>59</v>
      </c>
      <c r="J145" t="s">
        <v>32</v>
      </c>
      <c r="K145">
        <v>497</v>
      </c>
    </row>
    <row r="146" spans="1:11" x14ac:dyDescent="0.25">
      <c r="A146" s="2">
        <v>38534</v>
      </c>
      <c r="B146">
        <v>3</v>
      </c>
      <c r="C146" t="s">
        <v>55</v>
      </c>
      <c r="D146">
        <v>7</v>
      </c>
      <c r="E146" t="s">
        <v>103</v>
      </c>
      <c r="F146">
        <v>1</v>
      </c>
      <c r="G146" t="s">
        <v>57</v>
      </c>
      <c r="H146" t="s">
        <v>62</v>
      </c>
      <c r="I146" t="s">
        <v>59</v>
      </c>
      <c r="J146" t="s">
        <v>32</v>
      </c>
      <c r="K146">
        <v>331</v>
      </c>
    </row>
    <row r="147" spans="1:11" x14ac:dyDescent="0.25">
      <c r="A147" s="2">
        <v>38534</v>
      </c>
      <c r="B147">
        <v>3</v>
      </c>
      <c r="C147" t="s">
        <v>55</v>
      </c>
      <c r="D147">
        <v>7</v>
      </c>
      <c r="E147" t="s">
        <v>103</v>
      </c>
      <c r="F147">
        <v>2</v>
      </c>
      <c r="G147" t="s">
        <v>60</v>
      </c>
      <c r="H147" t="s">
        <v>62</v>
      </c>
      <c r="I147" t="s">
        <v>59</v>
      </c>
      <c r="J147" t="s">
        <v>32</v>
      </c>
      <c r="K147">
        <v>380</v>
      </c>
    </row>
    <row r="148" spans="1:11" x14ac:dyDescent="0.25">
      <c r="A148" s="2">
        <v>38534</v>
      </c>
      <c r="B148">
        <v>3</v>
      </c>
      <c r="C148" t="s">
        <v>55</v>
      </c>
      <c r="D148">
        <v>7</v>
      </c>
      <c r="E148" t="s">
        <v>103</v>
      </c>
      <c r="F148">
        <v>2</v>
      </c>
      <c r="G148" t="s">
        <v>60</v>
      </c>
      <c r="H148" t="s">
        <v>63</v>
      </c>
      <c r="I148" t="s">
        <v>59</v>
      </c>
      <c r="J148" t="s">
        <v>32</v>
      </c>
      <c r="K148">
        <v>90</v>
      </c>
    </row>
    <row r="149" spans="1:11" x14ac:dyDescent="0.25">
      <c r="A149" s="2">
        <v>38534</v>
      </c>
      <c r="B149">
        <v>3</v>
      </c>
      <c r="C149" t="s">
        <v>55</v>
      </c>
      <c r="D149">
        <v>7</v>
      </c>
      <c r="E149" t="s">
        <v>103</v>
      </c>
      <c r="F149">
        <v>1</v>
      </c>
      <c r="G149" t="s">
        <v>57</v>
      </c>
      <c r="H149" t="s">
        <v>63</v>
      </c>
      <c r="I149" t="s">
        <v>59</v>
      </c>
      <c r="J149" t="s">
        <v>32</v>
      </c>
      <c r="K149">
        <v>81</v>
      </c>
    </row>
    <row r="150" spans="1:11" x14ac:dyDescent="0.25">
      <c r="A150" s="2">
        <v>38534</v>
      </c>
      <c r="B150">
        <v>3</v>
      </c>
      <c r="C150" t="s">
        <v>55</v>
      </c>
      <c r="D150">
        <v>7</v>
      </c>
      <c r="E150" t="s">
        <v>103</v>
      </c>
      <c r="F150">
        <v>1</v>
      </c>
      <c r="G150" t="s">
        <v>57</v>
      </c>
      <c r="H150" t="s">
        <v>64</v>
      </c>
      <c r="I150" t="s">
        <v>59</v>
      </c>
      <c r="J150" t="s">
        <v>32</v>
      </c>
      <c r="K150">
        <v>74</v>
      </c>
    </row>
    <row r="151" spans="1:11" x14ac:dyDescent="0.25">
      <c r="A151" s="2">
        <v>38534</v>
      </c>
      <c r="B151">
        <v>3</v>
      </c>
      <c r="C151" t="s">
        <v>55</v>
      </c>
      <c r="D151">
        <v>7</v>
      </c>
      <c r="E151" t="s">
        <v>103</v>
      </c>
      <c r="F151">
        <v>2</v>
      </c>
      <c r="G151" t="s">
        <v>60</v>
      </c>
      <c r="H151" t="s">
        <v>64</v>
      </c>
      <c r="I151" t="s">
        <v>59</v>
      </c>
      <c r="J151" t="s">
        <v>32</v>
      </c>
      <c r="K151">
        <v>80</v>
      </c>
    </row>
    <row r="152" spans="1:11" x14ac:dyDescent="0.25">
      <c r="A152" s="2">
        <v>38534</v>
      </c>
      <c r="B152">
        <v>3</v>
      </c>
      <c r="C152" t="s">
        <v>55</v>
      </c>
      <c r="D152">
        <v>7</v>
      </c>
      <c r="E152" t="s">
        <v>103</v>
      </c>
      <c r="F152">
        <v>2</v>
      </c>
      <c r="G152" t="s">
        <v>60</v>
      </c>
      <c r="H152" t="s">
        <v>65</v>
      </c>
      <c r="I152" t="s">
        <v>59</v>
      </c>
      <c r="J152" t="s">
        <v>32</v>
      </c>
      <c r="K152">
        <v>40</v>
      </c>
    </row>
    <row r="153" spans="1:11" x14ac:dyDescent="0.25">
      <c r="A153" s="2">
        <v>38534</v>
      </c>
      <c r="B153">
        <v>3</v>
      </c>
      <c r="C153" t="s">
        <v>55</v>
      </c>
      <c r="D153">
        <v>7</v>
      </c>
      <c r="E153" t="s">
        <v>103</v>
      </c>
      <c r="F153">
        <v>1</v>
      </c>
      <c r="G153" t="s">
        <v>57</v>
      </c>
      <c r="H153" t="s">
        <v>65</v>
      </c>
      <c r="I153" t="s">
        <v>59</v>
      </c>
      <c r="J153" t="s">
        <v>32</v>
      </c>
      <c r="K153">
        <v>38</v>
      </c>
    </row>
    <row r="154" spans="1:11" x14ac:dyDescent="0.25">
      <c r="A154" s="2">
        <v>38534</v>
      </c>
      <c r="B154">
        <v>3</v>
      </c>
      <c r="C154" t="s">
        <v>55</v>
      </c>
      <c r="D154">
        <v>7</v>
      </c>
      <c r="E154" t="s">
        <v>103</v>
      </c>
      <c r="F154">
        <v>1</v>
      </c>
      <c r="G154" t="s">
        <v>57</v>
      </c>
      <c r="H154" t="s">
        <v>66</v>
      </c>
      <c r="I154" t="s">
        <v>59</v>
      </c>
      <c r="J154" t="s">
        <v>32</v>
      </c>
      <c r="K154">
        <v>29</v>
      </c>
    </row>
    <row r="155" spans="1:11" x14ac:dyDescent="0.25">
      <c r="A155" s="2">
        <v>38534</v>
      </c>
      <c r="B155">
        <v>3</v>
      </c>
      <c r="C155" t="s">
        <v>55</v>
      </c>
      <c r="D155">
        <v>7</v>
      </c>
      <c r="E155" t="s">
        <v>103</v>
      </c>
      <c r="F155">
        <v>2</v>
      </c>
      <c r="G155" t="s">
        <v>60</v>
      </c>
      <c r="H155" t="s">
        <v>66</v>
      </c>
      <c r="I155" t="s">
        <v>59</v>
      </c>
      <c r="J155" t="s">
        <v>32</v>
      </c>
      <c r="K155">
        <v>30</v>
      </c>
    </row>
    <row r="156" spans="1:11" x14ac:dyDescent="0.25">
      <c r="A156" s="2">
        <v>38534</v>
      </c>
      <c r="B156">
        <v>3</v>
      </c>
      <c r="C156" t="s">
        <v>55</v>
      </c>
      <c r="D156">
        <v>7</v>
      </c>
      <c r="E156" t="s">
        <v>103</v>
      </c>
      <c r="F156">
        <v>1</v>
      </c>
      <c r="G156" t="s">
        <v>57</v>
      </c>
      <c r="H156" t="s">
        <v>67</v>
      </c>
      <c r="I156" t="s">
        <v>59</v>
      </c>
      <c r="J156" t="s">
        <v>32</v>
      </c>
      <c r="K156">
        <v>8</v>
      </c>
    </row>
    <row r="157" spans="1:11" x14ac:dyDescent="0.25">
      <c r="A157" s="2">
        <v>38534</v>
      </c>
      <c r="B157">
        <v>3</v>
      </c>
      <c r="C157" t="s">
        <v>55</v>
      </c>
      <c r="D157">
        <v>7</v>
      </c>
      <c r="E157" t="s">
        <v>103</v>
      </c>
      <c r="F157">
        <v>1</v>
      </c>
      <c r="G157" t="s">
        <v>57</v>
      </c>
      <c r="H157" t="s">
        <v>68</v>
      </c>
      <c r="I157" t="s">
        <v>59</v>
      </c>
      <c r="J157" t="s">
        <v>32</v>
      </c>
      <c r="K157">
        <v>9</v>
      </c>
    </row>
    <row r="158" spans="1:11" x14ac:dyDescent="0.25">
      <c r="A158" s="2">
        <v>38534</v>
      </c>
      <c r="B158">
        <v>3</v>
      </c>
      <c r="C158" t="s">
        <v>55</v>
      </c>
      <c r="D158">
        <v>7</v>
      </c>
      <c r="E158" t="s">
        <v>103</v>
      </c>
      <c r="F158">
        <v>2</v>
      </c>
      <c r="G158" t="s">
        <v>60</v>
      </c>
      <c r="H158" t="s">
        <v>68</v>
      </c>
      <c r="I158" t="s">
        <v>59</v>
      </c>
      <c r="J158" t="s">
        <v>32</v>
      </c>
      <c r="K158">
        <v>30</v>
      </c>
    </row>
    <row r="159" spans="1:11" x14ac:dyDescent="0.25">
      <c r="A159" s="2">
        <v>38534</v>
      </c>
      <c r="B159">
        <v>3</v>
      </c>
      <c r="C159" t="s">
        <v>55</v>
      </c>
      <c r="D159">
        <v>7</v>
      </c>
      <c r="E159" t="s">
        <v>103</v>
      </c>
      <c r="F159">
        <v>2</v>
      </c>
      <c r="G159" t="s">
        <v>60</v>
      </c>
      <c r="H159" t="s">
        <v>69</v>
      </c>
      <c r="I159" t="s">
        <v>59</v>
      </c>
      <c r="J159" t="s">
        <v>32</v>
      </c>
      <c r="K159">
        <v>80</v>
      </c>
    </row>
    <row r="160" spans="1:11" x14ac:dyDescent="0.25">
      <c r="A160" s="2">
        <v>38534</v>
      </c>
      <c r="B160">
        <v>3</v>
      </c>
      <c r="C160" t="s">
        <v>55</v>
      </c>
      <c r="D160">
        <v>7</v>
      </c>
      <c r="E160" t="s">
        <v>103</v>
      </c>
      <c r="F160">
        <v>1</v>
      </c>
      <c r="G160" t="s">
        <v>57</v>
      </c>
      <c r="H160" t="s">
        <v>69</v>
      </c>
      <c r="I160" t="s">
        <v>59</v>
      </c>
      <c r="J160" t="s">
        <v>32</v>
      </c>
      <c r="K160">
        <v>57</v>
      </c>
    </row>
    <row r="161" spans="1:11" x14ac:dyDescent="0.25">
      <c r="A161" s="2">
        <v>38534</v>
      </c>
      <c r="B161">
        <v>3</v>
      </c>
      <c r="C161" t="s">
        <v>55</v>
      </c>
      <c r="D161">
        <v>7</v>
      </c>
      <c r="E161" t="s">
        <v>103</v>
      </c>
      <c r="F161">
        <v>1</v>
      </c>
      <c r="G161" t="s">
        <v>57</v>
      </c>
      <c r="H161" t="s">
        <v>70</v>
      </c>
      <c r="I161" t="s">
        <v>59</v>
      </c>
      <c r="J161" t="s">
        <v>32</v>
      </c>
      <c r="K161">
        <v>86</v>
      </c>
    </row>
    <row r="162" spans="1:11" x14ac:dyDescent="0.25">
      <c r="A162" s="2">
        <v>38534</v>
      </c>
      <c r="B162">
        <v>3</v>
      </c>
      <c r="C162" t="s">
        <v>55</v>
      </c>
      <c r="D162">
        <v>7</v>
      </c>
      <c r="E162" t="s">
        <v>103</v>
      </c>
      <c r="F162">
        <v>2</v>
      </c>
      <c r="G162" t="s">
        <v>60</v>
      </c>
      <c r="H162" t="s">
        <v>70</v>
      </c>
      <c r="I162" t="s">
        <v>59</v>
      </c>
      <c r="J162" t="s">
        <v>32</v>
      </c>
      <c r="K162">
        <v>100</v>
      </c>
    </row>
    <row r="163" spans="1:11" x14ac:dyDescent="0.25">
      <c r="A163" s="2">
        <v>38534</v>
      </c>
      <c r="B163">
        <v>3</v>
      </c>
      <c r="C163" t="s">
        <v>55</v>
      </c>
      <c r="D163">
        <v>7</v>
      </c>
      <c r="E163" t="s">
        <v>103</v>
      </c>
      <c r="F163">
        <v>2</v>
      </c>
      <c r="G163" t="s">
        <v>60</v>
      </c>
      <c r="H163" t="s">
        <v>71</v>
      </c>
      <c r="I163" t="s">
        <v>59</v>
      </c>
      <c r="J163" t="s">
        <v>32</v>
      </c>
      <c r="K163">
        <v>60</v>
      </c>
    </row>
    <row r="164" spans="1:11" x14ac:dyDescent="0.25">
      <c r="A164" s="2">
        <v>38534</v>
      </c>
      <c r="B164">
        <v>3</v>
      </c>
      <c r="C164" t="s">
        <v>55</v>
      </c>
      <c r="D164">
        <v>7</v>
      </c>
      <c r="E164" t="s">
        <v>103</v>
      </c>
      <c r="F164">
        <v>1</v>
      </c>
      <c r="G164" t="s">
        <v>57</v>
      </c>
      <c r="H164" t="s">
        <v>71</v>
      </c>
      <c r="I164" t="s">
        <v>59</v>
      </c>
      <c r="J164" t="s">
        <v>32</v>
      </c>
      <c r="K164">
        <v>71</v>
      </c>
    </row>
    <row r="165" spans="1:11" x14ac:dyDescent="0.25">
      <c r="A165" s="2">
        <v>38534</v>
      </c>
      <c r="B165">
        <v>3</v>
      </c>
      <c r="C165" t="s">
        <v>55</v>
      </c>
      <c r="D165">
        <v>7</v>
      </c>
      <c r="E165" t="s">
        <v>103</v>
      </c>
      <c r="F165">
        <v>1</v>
      </c>
      <c r="G165" t="s">
        <v>57</v>
      </c>
      <c r="H165" t="s">
        <v>72</v>
      </c>
      <c r="I165" t="s">
        <v>59</v>
      </c>
      <c r="J165" t="s">
        <v>32</v>
      </c>
      <c r="K165">
        <v>128</v>
      </c>
    </row>
    <row r="166" spans="1:11" x14ac:dyDescent="0.25">
      <c r="A166" s="2">
        <v>38534</v>
      </c>
      <c r="B166">
        <v>3</v>
      </c>
      <c r="C166" t="s">
        <v>55</v>
      </c>
      <c r="D166">
        <v>7</v>
      </c>
      <c r="E166" t="s">
        <v>103</v>
      </c>
      <c r="F166">
        <v>2</v>
      </c>
      <c r="G166" t="s">
        <v>60</v>
      </c>
      <c r="H166" t="s">
        <v>72</v>
      </c>
      <c r="I166" t="s">
        <v>59</v>
      </c>
      <c r="J166" t="s">
        <v>32</v>
      </c>
      <c r="K166">
        <v>100</v>
      </c>
    </row>
    <row r="167" spans="1:11" x14ac:dyDescent="0.25">
      <c r="A167" s="2">
        <v>38534</v>
      </c>
      <c r="B167">
        <v>3</v>
      </c>
      <c r="C167" t="s">
        <v>55</v>
      </c>
      <c r="D167">
        <v>7</v>
      </c>
      <c r="E167" t="s">
        <v>103</v>
      </c>
      <c r="F167">
        <v>2</v>
      </c>
      <c r="G167" t="s">
        <v>60</v>
      </c>
      <c r="H167" t="s">
        <v>73</v>
      </c>
      <c r="I167" t="s">
        <v>59</v>
      </c>
      <c r="J167" t="s">
        <v>32</v>
      </c>
      <c r="K167">
        <v>40</v>
      </c>
    </row>
    <row r="168" spans="1:11" x14ac:dyDescent="0.25">
      <c r="A168" s="2">
        <v>38534</v>
      </c>
      <c r="B168">
        <v>3</v>
      </c>
      <c r="C168" t="s">
        <v>55</v>
      </c>
      <c r="D168">
        <v>7</v>
      </c>
      <c r="E168" t="s">
        <v>103</v>
      </c>
      <c r="F168">
        <v>1</v>
      </c>
      <c r="G168" t="s">
        <v>57</v>
      </c>
      <c r="H168" t="s">
        <v>73</v>
      </c>
      <c r="I168" t="s">
        <v>59</v>
      </c>
      <c r="J168" t="s">
        <v>32</v>
      </c>
      <c r="K168">
        <v>39</v>
      </c>
    </row>
    <row r="169" spans="1:11" x14ac:dyDescent="0.25">
      <c r="A169" s="2">
        <v>38534</v>
      </c>
      <c r="B169">
        <v>3</v>
      </c>
      <c r="C169" t="s">
        <v>55</v>
      </c>
      <c r="D169">
        <v>7</v>
      </c>
      <c r="E169" t="s">
        <v>103</v>
      </c>
      <c r="F169">
        <v>1</v>
      </c>
      <c r="G169" t="s">
        <v>57</v>
      </c>
      <c r="H169" t="s">
        <v>74</v>
      </c>
      <c r="I169" t="s">
        <v>59</v>
      </c>
      <c r="J169" t="s">
        <v>32</v>
      </c>
      <c r="K169">
        <v>143</v>
      </c>
    </row>
    <row r="170" spans="1:11" x14ac:dyDescent="0.25">
      <c r="A170" s="2">
        <v>38534</v>
      </c>
      <c r="B170">
        <v>3</v>
      </c>
      <c r="C170" t="s">
        <v>55</v>
      </c>
      <c r="D170">
        <v>7</v>
      </c>
      <c r="E170" t="s">
        <v>103</v>
      </c>
      <c r="F170">
        <v>2</v>
      </c>
      <c r="G170" t="s">
        <v>60</v>
      </c>
      <c r="H170" t="s">
        <v>74</v>
      </c>
      <c r="I170" t="s">
        <v>59</v>
      </c>
      <c r="J170" t="s">
        <v>32</v>
      </c>
      <c r="K170">
        <v>100</v>
      </c>
    </row>
    <row r="171" spans="1:11" x14ac:dyDescent="0.25">
      <c r="A171" s="2">
        <v>38534</v>
      </c>
      <c r="B171">
        <v>3</v>
      </c>
      <c r="C171" t="s">
        <v>55</v>
      </c>
      <c r="D171">
        <v>7</v>
      </c>
      <c r="E171" t="s">
        <v>103</v>
      </c>
      <c r="F171">
        <v>2</v>
      </c>
      <c r="G171" t="s">
        <v>60</v>
      </c>
      <c r="H171" t="s">
        <v>75</v>
      </c>
      <c r="I171" t="s">
        <v>59</v>
      </c>
      <c r="J171" t="s">
        <v>32</v>
      </c>
      <c r="K171">
        <v>90</v>
      </c>
    </row>
    <row r="172" spans="1:11" x14ac:dyDescent="0.25">
      <c r="A172" s="2">
        <v>38534</v>
      </c>
      <c r="B172">
        <v>3</v>
      </c>
      <c r="C172" t="s">
        <v>55</v>
      </c>
      <c r="D172">
        <v>7</v>
      </c>
      <c r="E172" t="s">
        <v>103</v>
      </c>
      <c r="F172">
        <v>1</v>
      </c>
      <c r="G172" t="s">
        <v>57</v>
      </c>
      <c r="H172" t="s">
        <v>75</v>
      </c>
      <c r="I172" t="s">
        <v>59</v>
      </c>
      <c r="J172" t="s">
        <v>32</v>
      </c>
      <c r="K172">
        <v>89</v>
      </c>
    </row>
    <row r="173" spans="1:11" x14ac:dyDescent="0.25">
      <c r="A173" s="2">
        <v>38534</v>
      </c>
      <c r="B173">
        <v>3</v>
      </c>
      <c r="C173" t="s">
        <v>55</v>
      </c>
      <c r="D173">
        <v>7</v>
      </c>
      <c r="E173" t="s">
        <v>103</v>
      </c>
      <c r="F173">
        <v>1</v>
      </c>
      <c r="G173" t="s">
        <v>57</v>
      </c>
      <c r="H173" t="s">
        <v>76</v>
      </c>
      <c r="I173" t="s">
        <v>59</v>
      </c>
      <c r="J173" t="s">
        <v>32</v>
      </c>
      <c r="K173">
        <v>9</v>
      </c>
    </row>
    <row r="174" spans="1:11" x14ac:dyDescent="0.25">
      <c r="A174" s="2">
        <v>38534</v>
      </c>
      <c r="B174">
        <v>3</v>
      </c>
      <c r="C174" t="s">
        <v>55</v>
      </c>
      <c r="D174">
        <v>7</v>
      </c>
      <c r="E174" t="s">
        <v>103</v>
      </c>
      <c r="F174">
        <v>2</v>
      </c>
      <c r="G174" t="s">
        <v>60</v>
      </c>
      <c r="H174" t="s">
        <v>76</v>
      </c>
      <c r="I174" t="s">
        <v>59</v>
      </c>
      <c r="J174" t="s">
        <v>32</v>
      </c>
      <c r="K174">
        <v>10</v>
      </c>
    </row>
    <row r="175" spans="1:11" x14ac:dyDescent="0.25">
      <c r="A175" s="2">
        <v>38534</v>
      </c>
      <c r="B175">
        <v>3</v>
      </c>
      <c r="C175" t="s">
        <v>55</v>
      </c>
      <c r="D175">
        <v>7</v>
      </c>
      <c r="E175" t="s">
        <v>103</v>
      </c>
      <c r="F175">
        <v>2</v>
      </c>
      <c r="G175" t="s">
        <v>60</v>
      </c>
      <c r="H175" t="s">
        <v>77</v>
      </c>
      <c r="I175" t="s">
        <v>59</v>
      </c>
      <c r="J175" t="s">
        <v>32</v>
      </c>
      <c r="K175">
        <v>30</v>
      </c>
    </row>
    <row r="176" spans="1:11" x14ac:dyDescent="0.25">
      <c r="A176" s="2">
        <v>38534</v>
      </c>
      <c r="B176">
        <v>3</v>
      </c>
      <c r="C176" t="s">
        <v>55</v>
      </c>
      <c r="D176">
        <v>7</v>
      </c>
      <c r="E176" t="s">
        <v>103</v>
      </c>
      <c r="F176">
        <v>1</v>
      </c>
      <c r="G176" t="s">
        <v>57</v>
      </c>
      <c r="H176" t="s">
        <v>77</v>
      </c>
      <c r="I176" t="s">
        <v>59</v>
      </c>
      <c r="J176" t="s">
        <v>32</v>
      </c>
      <c r="K176">
        <v>30</v>
      </c>
    </row>
    <row r="177" spans="1:11" x14ac:dyDescent="0.25">
      <c r="A177" s="2">
        <v>38534</v>
      </c>
      <c r="B177">
        <v>3</v>
      </c>
      <c r="C177" t="s">
        <v>55</v>
      </c>
      <c r="D177">
        <v>7</v>
      </c>
      <c r="E177" t="s">
        <v>103</v>
      </c>
      <c r="F177">
        <v>1</v>
      </c>
      <c r="G177" t="s">
        <v>57</v>
      </c>
      <c r="H177" t="s">
        <v>78</v>
      </c>
      <c r="I177" t="s">
        <v>59</v>
      </c>
      <c r="J177" t="s">
        <v>32</v>
      </c>
      <c r="K177">
        <v>25</v>
      </c>
    </row>
    <row r="178" spans="1:11" x14ac:dyDescent="0.25">
      <c r="A178" s="2">
        <v>38534</v>
      </c>
      <c r="B178">
        <v>3</v>
      </c>
      <c r="C178" t="s">
        <v>55</v>
      </c>
      <c r="D178">
        <v>7</v>
      </c>
      <c r="E178" t="s">
        <v>103</v>
      </c>
      <c r="F178">
        <v>2</v>
      </c>
      <c r="G178" t="s">
        <v>60</v>
      </c>
      <c r="H178" t="s">
        <v>78</v>
      </c>
      <c r="I178" t="s">
        <v>59</v>
      </c>
      <c r="J178" t="s">
        <v>32</v>
      </c>
      <c r="K178">
        <v>30</v>
      </c>
    </row>
    <row r="179" spans="1:11" x14ac:dyDescent="0.25">
      <c r="A179" s="2">
        <v>38534</v>
      </c>
      <c r="B179">
        <v>3</v>
      </c>
      <c r="C179" t="s">
        <v>55</v>
      </c>
      <c r="D179">
        <v>7</v>
      </c>
      <c r="E179" t="s">
        <v>103</v>
      </c>
      <c r="F179">
        <v>2</v>
      </c>
      <c r="G179" t="s">
        <v>60</v>
      </c>
      <c r="H179" t="s">
        <v>79</v>
      </c>
      <c r="I179" t="s">
        <v>59</v>
      </c>
      <c r="J179" t="s">
        <v>32</v>
      </c>
      <c r="K179">
        <v>20</v>
      </c>
    </row>
    <row r="180" spans="1:11" x14ac:dyDescent="0.25">
      <c r="A180" s="2">
        <v>38534</v>
      </c>
      <c r="B180">
        <v>3</v>
      </c>
      <c r="C180" t="s">
        <v>55</v>
      </c>
      <c r="D180">
        <v>7</v>
      </c>
      <c r="E180" t="s">
        <v>103</v>
      </c>
      <c r="F180">
        <v>1</v>
      </c>
      <c r="G180" t="s">
        <v>57</v>
      </c>
      <c r="H180" t="s">
        <v>79</v>
      </c>
      <c r="I180" t="s">
        <v>59</v>
      </c>
      <c r="J180" t="s">
        <v>32</v>
      </c>
      <c r="K180">
        <v>24</v>
      </c>
    </row>
    <row r="181" spans="1:11" x14ac:dyDescent="0.25">
      <c r="A181" s="2">
        <v>38534</v>
      </c>
      <c r="B181">
        <v>3</v>
      </c>
      <c r="C181" t="s">
        <v>55</v>
      </c>
      <c r="D181">
        <v>7</v>
      </c>
      <c r="E181" t="s">
        <v>103</v>
      </c>
      <c r="F181">
        <v>1</v>
      </c>
      <c r="G181" t="s">
        <v>57</v>
      </c>
      <c r="H181" t="s">
        <v>80</v>
      </c>
      <c r="I181" t="s">
        <v>59</v>
      </c>
      <c r="J181" t="s">
        <v>32</v>
      </c>
      <c r="K181">
        <v>135</v>
      </c>
    </row>
    <row r="182" spans="1:11" x14ac:dyDescent="0.25">
      <c r="A182" s="2">
        <v>38534</v>
      </c>
      <c r="B182">
        <v>3</v>
      </c>
      <c r="C182" t="s">
        <v>55</v>
      </c>
      <c r="D182">
        <v>7</v>
      </c>
      <c r="E182" t="s">
        <v>103</v>
      </c>
      <c r="F182">
        <v>2</v>
      </c>
      <c r="G182" t="s">
        <v>60</v>
      </c>
      <c r="H182" t="s">
        <v>80</v>
      </c>
      <c r="I182" t="s">
        <v>59</v>
      </c>
      <c r="J182" t="s">
        <v>32</v>
      </c>
      <c r="K182">
        <v>100</v>
      </c>
    </row>
    <row r="183" spans="1:11" x14ac:dyDescent="0.25">
      <c r="A183" s="2">
        <v>38534</v>
      </c>
      <c r="B183">
        <v>3</v>
      </c>
      <c r="C183" t="s">
        <v>55</v>
      </c>
      <c r="D183">
        <v>7</v>
      </c>
      <c r="E183" t="s">
        <v>103</v>
      </c>
      <c r="F183">
        <v>1</v>
      </c>
      <c r="G183" t="s">
        <v>57</v>
      </c>
      <c r="H183" t="s">
        <v>81</v>
      </c>
      <c r="I183" t="s">
        <v>82</v>
      </c>
      <c r="J183" t="s">
        <v>32</v>
      </c>
      <c r="K183">
        <v>48</v>
      </c>
    </row>
    <row r="184" spans="1:11" x14ac:dyDescent="0.25">
      <c r="A184" s="2">
        <v>38534</v>
      </c>
      <c r="B184">
        <v>3</v>
      </c>
      <c r="C184" t="s">
        <v>55</v>
      </c>
      <c r="D184">
        <v>7</v>
      </c>
      <c r="E184" t="s">
        <v>103</v>
      </c>
      <c r="F184">
        <v>1</v>
      </c>
      <c r="G184" t="s">
        <v>57</v>
      </c>
      <c r="H184" t="s">
        <v>83</v>
      </c>
      <c r="I184" t="s">
        <v>59</v>
      </c>
      <c r="J184" t="s">
        <v>32</v>
      </c>
      <c r="K184">
        <v>73</v>
      </c>
    </row>
    <row r="185" spans="1:11" x14ac:dyDescent="0.25">
      <c r="A185" s="2">
        <v>38534</v>
      </c>
      <c r="B185">
        <v>3</v>
      </c>
      <c r="C185" t="s">
        <v>55</v>
      </c>
      <c r="D185">
        <v>7</v>
      </c>
      <c r="E185" t="s">
        <v>103</v>
      </c>
      <c r="F185">
        <v>1</v>
      </c>
      <c r="G185" t="s">
        <v>57</v>
      </c>
      <c r="H185" t="s">
        <v>84</v>
      </c>
      <c r="I185" t="s">
        <v>82</v>
      </c>
      <c r="J185" t="s">
        <v>32</v>
      </c>
      <c r="K185">
        <v>-58</v>
      </c>
    </row>
    <row r="186" spans="1:11" x14ac:dyDescent="0.25">
      <c r="A186" s="2">
        <v>38534</v>
      </c>
      <c r="B186">
        <v>3</v>
      </c>
      <c r="C186" t="s">
        <v>55</v>
      </c>
      <c r="D186">
        <v>7</v>
      </c>
      <c r="E186" t="s">
        <v>103</v>
      </c>
      <c r="F186">
        <v>1</v>
      </c>
      <c r="G186" t="s">
        <v>57</v>
      </c>
      <c r="H186" t="s">
        <v>85</v>
      </c>
      <c r="I186" t="s">
        <v>82</v>
      </c>
      <c r="J186" t="s">
        <v>32</v>
      </c>
      <c r="K186">
        <v>98</v>
      </c>
    </row>
    <row r="187" spans="1:11" x14ac:dyDescent="0.25">
      <c r="A187" s="2">
        <v>38534</v>
      </c>
      <c r="B187">
        <v>3</v>
      </c>
      <c r="C187" t="s">
        <v>55</v>
      </c>
      <c r="D187">
        <v>7</v>
      </c>
      <c r="E187" t="s">
        <v>103</v>
      </c>
      <c r="F187">
        <v>1</v>
      </c>
      <c r="G187" t="s">
        <v>57</v>
      </c>
      <c r="H187" t="s">
        <v>86</v>
      </c>
      <c r="I187" t="s">
        <v>59</v>
      </c>
      <c r="J187" t="s">
        <v>32</v>
      </c>
      <c r="K187">
        <v>52</v>
      </c>
    </row>
    <row r="188" spans="1:11" x14ac:dyDescent="0.25">
      <c r="A188" s="2">
        <v>38534</v>
      </c>
      <c r="B188">
        <v>3</v>
      </c>
      <c r="C188" t="s">
        <v>55</v>
      </c>
      <c r="D188">
        <v>7</v>
      </c>
      <c r="E188" t="s">
        <v>103</v>
      </c>
      <c r="F188">
        <v>1</v>
      </c>
      <c r="G188" t="s">
        <v>57</v>
      </c>
      <c r="H188" t="s">
        <v>87</v>
      </c>
      <c r="I188" t="s">
        <v>88</v>
      </c>
      <c r="J188" t="s">
        <v>89</v>
      </c>
      <c r="K188">
        <v>3</v>
      </c>
    </row>
    <row r="189" spans="1:11" x14ac:dyDescent="0.25">
      <c r="A189" s="2">
        <v>38534</v>
      </c>
      <c r="B189">
        <v>3</v>
      </c>
      <c r="C189" t="s">
        <v>55</v>
      </c>
      <c r="D189">
        <v>7</v>
      </c>
      <c r="E189" t="s">
        <v>103</v>
      </c>
      <c r="F189">
        <v>1</v>
      </c>
      <c r="G189" t="s">
        <v>57</v>
      </c>
      <c r="H189" t="s">
        <v>133</v>
      </c>
      <c r="I189" t="s">
        <v>118</v>
      </c>
      <c r="J189" t="s">
        <v>32</v>
      </c>
      <c r="K189">
        <v>23076</v>
      </c>
    </row>
    <row r="190" spans="1:11" x14ac:dyDescent="0.25">
      <c r="A190" s="2">
        <v>38534</v>
      </c>
      <c r="B190">
        <v>4</v>
      </c>
      <c r="C190" t="s">
        <v>134</v>
      </c>
      <c r="D190">
        <v>1</v>
      </c>
      <c r="E190" t="s">
        <v>56</v>
      </c>
      <c r="F190">
        <v>1</v>
      </c>
      <c r="G190" t="s">
        <v>57</v>
      </c>
      <c r="H190" t="s">
        <v>58</v>
      </c>
      <c r="I190" t="s">
        <v>59</v>
      </c>
      <c r="J190" t="s">
        <v>32</v>
      </c>
      <c r="K190">
        <v>43120</v>
      </c>
    </row>
    <row r="191" spans="1:11" x14ac:dyDescent="0.25">
      <c r="A191" s="2">
        <v>38534</v>
      </c>
      <c r="B191">
        <v>4</v>
      </c>
      <c r="C191" t="s">
        <v>134</v>
      </c>
      <c r="D191">
        <v>1</v>
      </c>
      <c r="E191" t="s">
        <v>56</v>
      </c>
      <c r="F191">
        <v>2</v>
      </c>
      <c r="G191" t="s">
        <v>60</v>
      </c>
      <c r="H191" t="s">
        <v>58</v>
      </c>
      <c r="I191" t="s">
        <v>59</v>
      </c>
      <c r="J191" t="s">
        <v>32</v>
      </c>
      <c r="K191">
        <v>40900</v>
      </c>
    </row>
    <row r="192" spans="1:11" x14ac:dyDescent="0.25">
      <c r="A192" s="2">
        <v>38534</v>
      </c>
      <c r="B192">
        <v>4</v>
      </c>
      <c r="C192" t="s">
        <v>134</v>
      </c>
      <c r="D192">
        <v>1</v>
      </c>
      <c r="E192" t="s">
        <v>56</v>
      </c>
      <c r="F192">
        <v>2</v>
      </c>
      <c r="G192" t="s">
        <v>60</v>
      </c>
      <c r="H192" t="s">
        <v>61</v>
      </c>
      <c r="I192" t="s">
        <v>59</v>
      </c>
      <c r="J192" t="s">
        <v>32</v>
      </c>
      <c r="K192">
        <v>4000</v>
      </c>
    </row>
    <row r="193" spans="1:11" x14ac:dyDescent="0.25">
      <c r="A193" s="2">
        <v>38534</v>
      </c>
      <c r="B193">
        <v>4</v>
      </c>
      <c r="C193" t="s">
        <v>134</v>
      </c>
      <c r="D193">
        <v>1</v>
      </c>
      <c r="E193" t="s">
        <v>56</v>
      </c>
      <c r="F193">
        <v>1</v>
      </c>
      <c r="G193" t="s">
        <v>57</v>
      </c>
      <c r="H193" t="s">
        <v>61</v>
      </c>
      <c r="I193" t="s">
        <v>59</v>
      </c>
      <c r="J193" t="s">
        <v>32</v>
      </c>
      <c r="K193">
        <v>5174</v>
      </c>
    </row>
    <row r="194" spans="1:11" x14ac:dyDescent="0.25">
      <c r="A194" s="2">
        <v>38534</v>
      </c>
      <c r="B194">
        <v>4</v>
      </c>
      <c r="C194" t="s">
        <v>134</v>
      </c>
      <c r="D194">
        <v>1</v>
      </c>
      <c r="E194" t="s">
        <v>56</v>
      </c>
      <c r="F194">
        <v>1</v>
      </c>
      <c r="G194" t="s">
        <v>57</v>
      </c>
      <c r="H194" t="s">
        <v>62</v>
      </c>
      <c r="I194" t="s">
        <v>59</v>
      </c>
      <c r="J194" t="s">
        <v>32</v>
      </c>
      <c r="K194">
        <v>3449</v>
      </c>
    </row>
    <row r="195" spans="1:11" x14ac:dyDescent="0.25">
      <c r="A195" s="2">
        <v>38534</v>
      </c>
      <c r="B195">
        <v>4</v>
      </c>
      <c r="C195" t="s">
        <v>134</v>
      </c>
      <c r="D195">
        <v>1</v>
      </c>
      <c r="E195" t="s">
        <v>56</v>
      </c>
      <c r="F195">
        <v>2</v>
      </c>
      <c r="G195" t="s">
        <v>60</v>
      </c>
      <c r="H195" t="s">
        <v>62</v>
      </c>
      <c r="I195" t="s">
        <v>59</v>
      </c>
      <c r="J195" t="s">
        <v>32</v>
      </c>
      <c r="K195">
        <v>3600</v>
      </c>
    </row>
    <row r="196" spans="1:11" x14ac:dyDescent="0.25">
      <c r="A196" s="2">
        <v>38534</v>
      </c>
      <c r="B196">
        <v>4</v>
      </c>
      <c r="C196" t="s">
        <v>134</v>
      </c>
      <c r="D196">
        <v>1</v>
      </c>
      <c r="E196" t="s">
        <v>56</v>
      </c>
      <c r="F196">
        <v>2</v>
      </c>
      <c r="G196" t="s">
        <v>60</v>
      </c>
      <c r="H196" t="s">
        <v>63</v>
      </c>
      <c r="I196" t="s">
        <v>59</v>
      </c>
      <c r="J196" t="s">
        <v>32</v>
      </c>
      <c r="K196">
        <v>850</v>
      </c>
    </row>
    <row r="197" spans="1:11" x14ac:dyDescent="0.25">
      <c r="A197" s="2">
        <v>38534</v>
      </c>
      <c r="B197">
        <v>4</v>
      </c>
      <c r="C197" t="s">
        <v>134</v>
      </c>
      <c r="D197">
        <v>1</v>
      </c>
      <c r="E197" t="s">
        <v>56</v>
      </c>
      <c r="F197">
        <v>1</v>
      </c>
      <c r="G197" t="s">
        <v>57</v>
      </c>
      <c r="H197" t="s">
        <v>63</v>
      </c>
      <c r="I197" t="s">
        <v>59</v>
      </c>
      <c r="J197" t="s">
        <v>32</v>
      </c>
      <c r="K197">
        <v>770</v>
      </c>
    </row>
    <row r="198" spans="1:11" x14ac:dyDescent="0.25">
      <c r="A198" s="2">
        <v>38534</v>
      </c>
      <c r="B198">
        <v>4</v>
      </c>
      <c r="C198" t="s">
        <v>134</v>
      </c>
      <c r="D198">
        <v>1</v>
      </c>
      <c r="E198" t="s">
        <v>56</v>
      </c>
      <c r="F198">
        <v>1</v>
      </c>
      <c r="G198" t="s">
        <v>57</v>
      </c>
      <c r="H198" t="s">
        <v>64</v>
      </c>
      <c r="I198" t="s">
        <v>59</v>
      </c>
      <c r="J198" t="s">
        <v>32</v>
      </c>
      <c r="K198">
        <v>700</v>
      </c>
    </row>
    <row r="199" spans="1:11" x14ac:dyDescent="0.25">
      <c r="A199" s="2">
        <v>38534</v>
      </c>
      <c r="B199">
        <v>4</v>
      </c>
      <c r="C199" t="s">
        <v>134</v>
      </c>
      <c r="D199">
        <v>1</v>
      </c>
      <c r="E199" t="s">
        <v>56</v>
      </c>
      <c r="F199">
        <v>2</v>
      </c>
      <c r="G199" t="s">
        <v>60</v>
      </c>
      <c r="H199" t="s">
        <v>64</v>
      </c>
      <c r="I199" t="s">
        <v>59</v>
      </c>
      <c r="J199" t="s">
        <v>32</v>
      </c>
      <c r="K199">
        <v>750</v>
      </c>
    </row>
    <row r="200" spans="1:11" x14ac:dyDescent="0.25">
      <c r="A200" s="2">
        <v>38534</v>
      </c>
      <c r="B200">
        <v>4</v>
      </c>
      <c r="C200" t="s">
        <v>134</v>
      </c>
      <c r="D200">
        <v>1</v>
      </c>
      <c r="E200" t="s">
        <v>56</v>
      </c>
      <c r="F200">
        <v>2</v>
      </c>
      <c r="G200" t="s">
        <v>60</v>
      </c>
      <c r="H200" t="s">
        <v>65</v>
      </c>
      <c r="I200" t="s">
        <v>59</v>
      </c>
      <c r="J200" t="s">
        <v>32</v>
      </c>
      <c r="K200">
        <v>380</v>
      </c>
    </row>
    <row r="201" spans="1:11" x14ac:dyDescent="0.25">
      <c r="A201" s="2">
        <v>38534</v>
      </c>
      <c r="B201">
        <v>4</v>
      </c>
      <c r="C201" t="s">
        <v>134</v>
      </c>
      <c r="D201">
        <v>1</v>
      </c>
      <c r="E201" t="s">
        <v>56</v>
      </c>
      <c r="F201">
        <v>1</v>
      </c>
      <c r="G201" t="s">
        <v>57</v>
      </c>
      <c r="H201" t="s">
        <v>65</v>
      </c>
      <c r="I201" t="s">
        <v>59</v>
      </c>
      <c r="J201" t="s">
        <v>32</v>
      </c>
      <c r="K201">
        <v>352</v>
      </c>
    </row>
    <row r="202" spans="1:11" x14ac:dyDescent="0.25">
      <c r="A202" s="2">
        <v>38534</v>
      </c>
      <c r="B202">
        <v>4</v>
      </c>
      <c r="C202" t="s">
        <v>134</v>
      </c>
      <c r="D202">
        <v>1</v>
      </c>
      <c r="E202" t="s">
        <v>56</v>
      </c>
      <c r="F202">
        <v>1</v>
      </c>
      <c r="G202" t="s">
        <v>57</v>
      </c>
      <c r="H202" t="s">
        <v>66</v>
      </c>
      <c r="I202" t="s">
        <v>59</v>
      </c>
      <c r="J202" t="s">
        <v>32</v>
      </c>
      <c r="K202">
        <v>264</v>
      </c>
    </row>
    <row r="203" spans="1:11" x14ac:dyDescent="0.25">
      <c r="A203" s="2">
        <v>38534</v>
      </c>
      <c r="B203">
        <v>4</v>
      </c>
      <c r="C203" t="s">
        <v>134</v>
      </c>
      <c r="D203">
        <v>1</v>
      </c>
      <c r="E203" t="s">
        <v>56</v>
      </c>
      <c r="F203">
        <v>2</v>
      </c>
      <c r="G203" t="s">
        <v>60</v>
      </c>
      <c r="H203" t="s">
        <v>66</v>
      </c>
      <c r="I203" t="s">
        <v>59</v>
      </c>
      <c r="J203" t="s">
        <v>32</v>
      </c>
      <c r="K203">
        <v>280</v>
      </c>
    </row>
    <row r="204" spans="1:11" x14ac:dyDescent="0.25">
      <c r="A204" s="2">
        <v>38534</v>
      </c>
      <c r="B204">
        <v>4</v>
      </c>
      <c r="C204" t="s">
        <v>134</v>
      </c>
      <c r="D204">
        <v>1</v>
      </c>
      <c r="E204" t="s">
        <v>56</v>
      </c>
      <c r="F204">
        <v>1</v>
      </c>
      <c r="G204" t="s">
        <v>57</v>
      </c>
      <c r="H204" t="s">
        <v>67</v>
      </c>
      <c r="I204" t="s">
        <v>59</v>
      </c>
      <c r="J204" t="s">
        <v>32</v>
      </c>
      <c r="K204">
        <v>77</v>
      </c>
    </row>
    <row r="205" spans="1:11" x14ac:dyDescent="0.25">
      <c r="A205" s="2">
        <v>38534</v>
      </c>
      <c r="B205">
        <v>4</v>
      </c>
      <c r="C205" t="s">
        <v>134</v>
      </c>
      <c r="D205">
        <v>1</v>
      </c>
      <c r="E205" t="s">
        <v>56</v>
      </c>
      <c r="F205">
        <v>1</v>
      </c>
      <c r="G205" t="s">
        <v>57</v>
      </c>
      <c r="H205" t="s">
        <v>68</v>
      </c>
      <c r="I205" t="s">
        <v>59</v>
      </c>
      <c r="J205" t="s">
        <v>32</v>
      </c>
      <c r="K205">
        <v>99</v>
      </c>
    </row>
    <row r="206" spans="1:11" x14ac:dyDescent="0.25">
      <c r="A206" s="2">
        <v>38534</v>
      </c>
      <c r="B206">
        <v>4</v>
      </c>
      <c r="C206" t="s">
        <v>134</v>
      </c>
      <c r="D206">
        <v>1</v>
      </c>
      <c r="E206" t="s">
        <v>56</v>
      </c>
      <c r="F206">
        <v>2</v>
      </c>
      <c r="G206" t="s">
        <v>60</v>
      </c>
      <c r="H206" t="s">
        <v>68</v>
      </c>
      <c r="I206" t="s">
        <v>59</v>
      </c>
      <c r="J206" t="s">
        <v>32</v>
      </c>
      <c r="K206">
        <v>110</v>
      </c>
    </row>
    <row r="207" spans="1:11" x14ac:dyDescent="0.25">
      <c r="A207" s="2">
        <v>38534</v>
      </c>
      <c r="B207">
        <v>4</v>
      </c>
      <c r="C207" t="s">
        <v>134</v>
      </c>
      <c r="D207">
        <v>1</v>
      </c>
      <c r="E207" t="s">
        <v>56</v>
      </c>
      <c r="F207">
        <v>2</v>
      </c>
      <c r="G207" t="s">
        <v>60</v>
      </c>
      <c r="H207" t="s">
        <v>69</v>
      </c>
      <c r="I207" t="s">
        <v>59</v>
      </c>
      <c r="J207" t="s">
        <v>32</v>
      </c>
      <c r="K207">
        <v>500</v>
      </c>
    </row>
    <row r="208" spans="1:11" x14ac:dyDescent="0.25">
      <c r="A208" s="2">
        <v>38534</v>
      </c>
      <c r="B208">
        <v>4</v>
      </c>
      <c r="C208" t="s">
        <v>134</v>
      </c>
      <c r="D208">
        <v>1</v>
      </c>
      <c r="E208" t="s">
        <v>56</v>
      </c>
      <c r="F208">
        <v>1</v>
      </c>
      <c r="G208" t="s">
        <v>57</v>
      </c>
      <c r="H208" t="s">
        <v>69</v>
      </c>
      <c r="I208" t="s">
        <v>59</v>
      </c>
      <c r="J208" t="s">
        <v>32</v>
      </c>
      <c r="K208">
        <v>486</v>
      </c>
    </row>
    <row r="209" spans="1:11" x14ac:dyDescent="0.25">
      <c r="A209" s="2">
        <v>38534</v>
      </c>
      <c r="B209">
        <v>4</v>
      </c>
      <c r="C209" t="s">
        <v>134</v>
      </c>
      <c r="D209">
        <v>1</v>
      </c>
      <c r="E209" t="s">
        <v>56</v>
      </c>
      <c r="F209">
        <v>1</v>
      </c>
      <c r="G209" t="s">
        <v>57</v>
      </c>
      <c r="H209" t="s">
        <v>70</v>
      </c>
      <c r="I209" t="s">
        <v>59</v>
      </c>
      <c r="J209" t="s">
        <v>32</v>
      </c>
      <c r="K209">
        <v>240</v>
      </c>
    </row>
    <row r="210" spans="1:11" x14ac:dyDescent="0.25">
      <c r="A210" s="2">
        <v>38534</v>
      </c>
      <c r="B210">
        <v>4</v>
      </c>
      <c r="C210" t="s">
        <v>134</v>
      </c>
      <c r="D210">
        <v>1</v>
      </c>
      <c r="E210" t="s">
        <v>56</v>
      </c>
      <c r="F210">
        <v>2</v>
      </c>
      <c r="G210" t="s">
        <v>60</v>
      </c>
      <c r="H210" t="s">
        <v>70</v>
      </c>
      <c r="I210" t="s">
        <v>59</v>
      </c>
      <c r="J210" t="s">
        <v>32</v>
      </c>
      <c r="K210">
        <v>280</v>
      </c>
    </row>
    <row r="211" spans="1:11" x14ac:dyDescent="0.25">
      <c r="A211" s="2">
        <v>38534</v>
      </c>
      <c r="B211">
        <v>4</v>
      </c>
      <c r="C211" t="s">
        <v>134</v>
      </c>
      <c r="D211">
        <v>1</v>
      </c>
      <c r="E211" t="s">
        <v>56</v>
      </c>
      <c r="F211">
        <v>2</v>
      </c>
      <c r="G211" t="s">
        <v>60</v>
      </c>
      <c r="H211" t="s">
        <v>71</v>
      </c>
      <c r="I211" t="s">
        <v>59</v>
      </c>
      <c r="J211" t="s">
        <v>32</v>
      </c>
      <c r="K211">
        <v>550</v>
      </c>
    </row>
    <row r="212" spans="1:11" x14ac:dyDescent="0.25">
      <c r="A212" s="2">
        <v>38534</v>
      </c>
      <c r="B212">
        <v>4</v>
      </c>
      <c r="C212" t="s">
        <v>134</v>
      </c>
      <c r="D212">
        <v>1</v>
      </c>
      <c r="E212" t="s">
        <v>56</v>
      </c>
      <c r="F212">
        <v>1</v>
      </c>
      <c r="G212" t="s">
        <v>57</v>
      </c>
      <c r="H212" t="s">
        <v>71</v>
      </c>
      <c r="I212" t="s">
        <v>59</v>
      </c>
      <c r="J212" t="s">
        <v>32</v>
      </c>
      <c r="K212">
        <v>561</v>
      </c>
    </row>
    <row r="213" spans="1:11" x14ac:dyDescent="0.25">
      <c r="A213" s="2">
        <v>38534</v>
      </c>
      <c r="B213">
        <v>4</v>
      </c>
      <c r="C213" t="s">
        <v>134</v>
      </c>
      <c r="D213">
        <v>1</v>
      </c>
      <c r="E213" t="s">
        <v>56</v>
      </c>
      <c r="F213">
        <v>1</v>
      </c>
      <c r="G213" t="s">
        <v>57</v>
      </c>
      <c r="H213" t="s">
        <v>72</v>
      </c>
      <c r="I213" t="s">
        <v>59</v>
      </c>
      <c r="J213" t="s">
        <v>32</v>
      </c>
      <c r="K213">
        <v>1009</v>
      </c>
    </row>
    <row r="214" spans="1:11" x14ac:dyDescent="0.25">
      <c r="A214" s="2">
        <v>38534</v>
      </c>
      <c r="B214">
        <v>4</v>
      </c>
      <c r="C214" t="s">
        <v>134</v>
      </c>
      <c r="D214">
        <v>1</v>
      </c>
      <c r="E214" t="s">
        <v>56</v>
      </c>
      <c r="F214">
        <v>2</v>
      </c>
      <c r="G214" t="s">
        <v>60</v>
      </c>
      <c r="H214" t="s">
        <v>72</v>
      </c>
      <c r="I214" t="s">
        <v>59</v>
      </c>
      <c r="J214" t="s">
        <v>32</v>
      </c>
      <c r="K214">
        <v>950</v>
      </c>
    </row>
    <row r="215" spans="1:11" x14ac:dyDescent="0.25">
      <c r="A215" s="2">
        <v>38534</v>
      </c>
      <c r="B215">
        <v>4</v>
      </c>
      <c r="C215" t="s">
        <v>134</v>
      </c>
      <c r="D215">
        <v>1</v>
      </c>
      <c r="E215" t="s">
        <v>56</v>
      </c>
      <c r="F215">
        <v>2</v>
      </c>
      <c r="G215" t="s">
        <v>60</v>
      </c>
      <c r="H215" t="s">
        <v>73</v>
      </c>
      <c r="I215" t="s">
        <v>59</v>
      </c>
      <c r="J215" t="s">
        <v>32</v>
      </c>
      <c r="K215">
        <v>280</v>
      </c>
    </row>
    <row r="216" spans="1:11" x14ac:dyDescent="0.25">
      <c r="A216" s="2">
        <v>38534</v>
      </c>
      <c r="B216">
        <v>4</v>
      </c>
      <c r="C216" t="s">
        <v>134</v>
      </c>
      <c r="D216">
        <v>1</v>
      </c>
      <c r="E216" t="s">
        <v>56</v>
      </c>
      <c r="F216">
        <v>1</v>
      </c>
      <c r="G216" t="s">
        <v>57</v>
      </c>
      <c r="H216" t="s">
        <v>73</v>
      </c>
      <c r="I216" t="s">
        <v>59</v>
      </c>
      <c r="J216" t="s">
        <v>32</v>
      </c>
      <c r="K216">
        <v>277</v>
      </c>
    </row>
    <row r="217" spans="1:11" x14ac:dyDescent="0.25">
      <c r="A217" s="2">
        <v>38534</v>
      </c>
      <c r="B217">
        <v>4</v>
      </c>
      <c r="C217" t="s">
        <v>134</v>
      </c>
      <c r="D217">
        <v>1</v>
      </c>
      <c r="E217" t="s">
        <v>56</v>
      </c>
      <c r="F217">
        <v>1</v>
      </c>
      <c r="G217" t="s">
        <v>57</v>
      </c>
      <c r="H217" t="s">
        <v>74</v>
      </c>
      <c r="I217" t="s">
        <v>59</v>
      </c>
      <c r="J217" t="s">
        <v>32</v>
      </c>
      <c r="K217">
        <v>1051</v>
      </c>
    </row>
    <row r="218" spans="1:11" x14ac:dyDescent="0.25">
      <c r="A218" s="2">
        <v>38534</v>
      </c>
      <c r="B218">
        <v>4</v>
      </c>
      <c r="C218" t="s">
        <v>134</v>
      </c>
      <c r="D218">
        <v>1</v>
      </c>
      <c r="E218" t="s">
        <v>56</v>
      </c>
      <c r="F218">
        <v>2</v>
      </c>
      <c r="G218" t="s">
        <v>60</v>
      </c>
      <c r="H218" t="s">
        <v>74</v>
      </c>
      <c r="I218" t="s">
        <v>59</v>
      </c>
      <c r="J218" t="s">
        <v>32</v>
      </c>
      <c r="K218">
        <v>1000</v>
      </c>
    </row>
    <row r="219" spans="1:11" x14ac:dyDescent="0.25">
      <c r="A219" s="2">
        <v>38534</v>
      </c>
      <c r="B219">
        <v>4</v>
      </c>
      <c r="C219" t="s">
        <v>134</v>
      </c>
      <c r="D219">
        <v>1</v>
      </c>
      <c r="E219" t="s">
        <v>56</v>
      </c>
      <c r="F219">
        <v>2</v>
      </c>
      <c r="G219" t="s">
        <v>60</v>
      </c>
      <c r="H219" t="s">
        <v>75</v>
      </c>
      <c r="I219" t="s">
        <v>59</v>
      </c>
      <c r="J219" t="s">
        <v>32</v>
      </c>
      <c r="K219">
        <v>650</v>
      </c>
    </row>
    <row r="220" spans="1:11" x14ac:dyDescent="0.25">
      <c r="A220" s="2">
        <v>38534</v>
      </c>
      <c r="B220">
        <v>4</v>
      </c>
      <c r="C220" t="s">
        <v>134</v>
      </c>
      <c r="D220">
        <v>1</v>
      </c>
      <c r="E220" t="s">
        <v>56</v>
      </c>
      <c r="F220">
        <v>1</v>
      </c>
      <c r="G220" t="s">
        <v>57</v>
      </c>
      <c r="H220" t="s">
        <v>75</v>
      </c>
      <c r="I220" t="s">
        <v>59</v>
      </c>
      <c r="J220" t="s">
        <v>32</v>
      </c>
      <c r="K220">
        <v>650</v>
      </c>
    </row>
    <row r="221" spans="1:11" x14ac:dyDescent="0.25">
      <c r="A221" s="2">
        <v>38534</v>
      </c>
      <c r="B221">
        <v>4</v>
      </c>
      <c r="C221" t="s">
        <v>134</v>
      </c>
      <c r="D221">
        <v>1</v>
      </c>
      <c r="E221" t="s">
        <v>56</v>
      </c>
      <c r="F221">
        <v>1</v>
      </c>
      <c r="G221" t="s">
        <v>57</v>
      </c>
      <c r="H221" t="s">
        <v>76</v>
      </c>
      <c r="I221" t="s">
        <v>59</v>
      </c>
      <c r="J221" t="s">
        <v>32</v>
      </c>
      <c r="K221">
        <v>62</v>
      </c>
    </row>
    <row r="222" spans="1:11" x14ac:dyDescent="0.25">
      <c r="A222" s="2">
        <v>38534</v>
      </c>
      <c r="B222">
        <v>4</v>
      </c>
      <c r="C222" t="s">
        <v>134</v>
      </c>
      <c r="D222">
        <v>1</v>
      </c>
      <c r="E222" t="s">
        <v>56</v>
      </c>
      <c r="F222">
        <v>2</v>
      </c>
      <c r="G222" t="s">
        <v>60</v>
      </c>
      <c r="H222" t="s">
        <v>76</v>
      </c>
      <c r="I222" t="s">
        <v>59</v>
      </c>
      <c r="J222" t="s">
        <v>32</v>
      </c>
      <c r="K222">
        <v>70</v>
      </c>
    </row>
    <row r="223" spans="1:11" x14ac:dyDescent="0.25">
      <c r="A223" s="2">
        <v>38534</v>
      </c>
      <c r="B223">
        <v>4</v>
      </c>
      <c r="C223" t="s">
        <v>134</v>
      </c>
      <c r="D223">
        <v>1</v>
      </c>
      <c r="E223" t="s">
        <v>56</v>
      </c>
      <c r="F223">
        <v>2</v>
      </c>
      <c r="G223" t="s">
        <v>60</v>
      </c>
      <c r="H223" t="s">
        <v>77</v>
      </c>
      <c r="I223" t="s">
        <v>59</v>
      </c>
      <c r="J223" t="s">
        <v>32</v>
      </c>
      <c r="K223">
        <v>200</v>
      </c>
    </row>
    <row r="224" spans="1:11" x14ac:dyDescent="0.25">
      <c r="A224" s="2">
        <v>38534</v>
      </c>
      <c r="B224">
        <v>4</v>
      </c>
      <c r="C224" t="s">
        <v>134</v>
      </c>
      <c r="D224">
        <v>1</v>
      </c>
      <c r="E224" t="s">
        <v>56</v>
      </c>
      <c r="F224">
        <v>1</v>
      </c>
      <c r="G224" t="s">
        <v>57</v>
      </c>
      <c r="H224" t="s">
        <v>77</v>
      </c>
      <c r="I224" t="s">
        <v>59</v>
      </c>
      <c r="J224" t="s">
        <v>32</v>
      </c>
      <c r="K224">
        <v>217</v>
      </c>
    </row>
    <row r="225" spans="1:11" x14ac:dyDescent="0.25">
      <c r="A225" s="2">
        <v>38534</v>
      </c>
      <c r="B225">
        <v>4</v>
      </c>
      <c r="C225" t="s">
        <v>134</v>
      </c>
      <c r="D225">
        <v>1</v>
      </c>
      <c r="E225" t="s">
        <v>56</v>
      </c>
      <c r="F225">
        <v>1</v>
      </c>
      <c r="G225" t="s">
        <v>57</v>
      </c>
      <c r="H225" t="s">
        <v>78</v>
      </c>
      <c r="I225" t="s">
        <v>59</v>
      </c>
      <c r="J225" t="s">
        <v>32</v>
      </c>
      <c r="K225">
        <v>180</v>
      </c>
    </row>
    <row r="226" spans="1:11" x14ac:dyDescent="0.25">
      <c r="A226" s="2">
        <v>38534</v>
      </c>
      <c r="B226">
        <v>4</v>
      </c>
      <c r="C226" t="s">
        <v>134</v>
      </c>
      <c r="D226">
        <v>1</v>
      </c>
      <c r="E226" t="s">
        <v>56</v>
      </c>
      <c r="F226">
        <v>2</v>
      </c>
      <c r="G226" t="s">
        <v>60</v>
      </c>
      <c r="H226" t="s">
        <v>78</v>
      </c>
      <c r="I226" t="s">
        <v>59</v>
      </c>
      <c r="J226" t="s">
        <v>32</v>
      </c>
      <c r="K226">
        <v>200</v>
      </c>
    </row>
    <row r="227" spans="1:11" x14ac:dyDescent="0.25">
      <c r="A227" s="2">
        <v>38534</v>
      </c>
      <c r="B227">
        <v>4</v>
      </c>
      <c r="C227" t="s">
        <v>134</v>
      </c>
      <c r="D227">
        <v>1</v>
      </c>
      <c r="E227" t="s">
        <v>56</v>
      </c>
      <c r="F227">
        <v>2</v>
      </c>
      <c r="G227" t="s">
        <v>60</v>
      </c>
      <c r="H227" t="s">
        <v>79</v>
      </c>
      <c r="I227" t="s">
        <v>59</v>
      </c>
      <c r="J227" t="s">
        <v>32</v>
      </c>
      <c r="K227">
        <v>200</v>
      </c>
    </row>
    <row r="228" spans="1:11" x14ac:dyDescent="0.25">
      <c r="A228" s="2">
        <v>38534</v>
      </c>
      <c r="B228">
        <v>4</v>
      </c>
      <c r="C228" t="s">
        <v>134</v>
      </c>
      <c r="D228">
        <v>1</v>
      </c>
      <c r="E228" t="s">
        <v>56</v>
      </c>
      <c r="F228">
        <v>1</v>
      </c>
      <c r="G228" t="s">
        <v>57</v>
      </c>
      <c r="H228" t="s">
        <v>79</v>
      </c>
      <c r="I228" t="s">
        <v>59</v>
      </c>
      <c r="J228" t="s">
        <v>32</v>
      </c>
      <c r="K228">
        <v>174</v>
      </c>
    </row>
    <row r="229" spans="1:11" x14ac:dyDescent="0.25">
      <c r="A229" s="2">
        <v>38534</v>
      </c>
      <c r="B229">
        <v>4</v>
      </c>
      <c r="C229" t="s">
        <v>134</v>
      </c>
      <c r="D229">
        <v>1</v>
      </c>
      <c r="E229" t="s">
        <v>56</v>
      </c>
      <c r="F229">
        <v>1</v>
      </c>
      <c r="G229" t="s">
        <v>57</v>
      </c>
      <c r="H229" t="s">
        <v>80</v>
      </c>
      <c r="I229" t="s">
        <v>59</v>
      </c>
      <c r="J229" t="s">
        <v>32</v>
      </c>
      <c r="K229">
        <v>990</v>
      </c>
    </row>
    <row r="230" spans="1:11" x14ac:dyDescent="0.25">
      <c r="A230" s="2">
        <v>38534</v>
      </c>
      <c r="B230">
        <v>4</v>
      </c>
      <c r="C230" t="s">
        <v>134</v>
      </c>
      <c r="D230">
        <v>1</v>
      </c>
      <c r="E230" t="s">
        <v>56</v>
      </c>
      <c r="F230">
        <v>2</v>
      </c>
      <c r="G230" t="s">
        <v>60</v>
      </c>
      <c r="H230" t="s">
        <v>80</v>
      </c>
      <c r="I230" t="s">
        <v>59</v>
      </c>
      <c r="J230" t="s">
        <v>32</v>
      </c>
      <c r="K230">
        <v>850</v>
      </c>
    </row>
    <row r="231" spans="1:11" x14ac:dyDescent="0.25">
      <c r="A231" s="2">
        <v>38534</v>
      </c>
      <c r="B231">
        <v>4</v>
      </c>
      <c r="C231" t="s">
        <v>134</v>
      </c>
      <c r="D231">
        <v>1</v>
      </c>
      <c r="E231" t="s">
        <v>56</v>
      </c>
      <c r="F231">
        <v>1</v>
      </c>
      <c r="G231" t="s">
        <v>57</v>
      </c>
      <c r="H231" t="s">
        <v>81</v>
      </c>
      <c r="I231" t="s">
        <v>82</v>
      </c>
      <c r="J231" t="s">
        <v>32</v>
      </c>
      <c r="K231">
        <v>176</v>
      </c>
    </row>
    <row r="232" spans="1:11" x14ac:dyDescent="0.25">
      <c r="A232" s="2">
        <v>38534</v>
      </c>
      <c r="B232">
        <v>4</v>
      </c>
      <c r="C232" t="s">
        <v>134</v>
      </c>
      <c r="D232">
        <v>1</v>
      </c>
      <c r="E232" t="s">
        <v>56</v>
      </c>
      <c r="F232">
        <v>1</v>
      </c>
      <c r="G232" t="s">
        <v>57</v>
      </c>
      <c r="H232" t="s">
        <v>83</v>
      </c>
      <c r="I232" t="s">
        <v>59</v>
      </c>
      <c r="J232" t="s">
        <v>32</v>
      </c>
      <c r="K232">
        <v>270</v>
      </c>
    </row>
    <row r="233" spans="1:11" x14ac:dyDescent="0.25">
      <c r="A233" s="2">
        <v>38534</v>
      </c>
      <c r="B233">
        <v>4</v>
      </c>
      <c r="C233" t="s">
        <v>134</v>
      </c>
      <c r="D233">
        <v>1</v>
      </c>
      <c r="E233" t="s">
        <v>56</v>
      </c>
      <c r="F233">
        <v>1</v>
      </c>
      <c r="G233" t="s">
        <v>57</v>
      </c>
      <c r="H233" t="s">
        <v>84</v>
      </c>
      <c r="I233" t="s">
        <v>82</v>
      </c>
      <c r="J233" t="s">
        <v>32</v>
      </c>
      <c r="K233">
        <v>-216</v>
      </c>
    </row>
    <row r="234" spans="1:11" x14ac:dyDescent="0.25">
      <c r="A234" s="2">
        <v>38534</v>
      </c>
      <c r="B234">
        <v>4</v>
      </c>
      <c r="C234" t="s">
        <v>134</v>
      </c>
      <c r="D234">
        <v>1</v>
      </c>
      <c r="E234" t="s">
        <v>56</v>
      </c>
      <c r="F234">
        <v>1</v>
      </c>
      <c r="G234" t="s">
        <v>57</v>
      </c>
      <c r="H234" t="s">
        <v>85</v>
      </c>
      <c r="I234" t="s">
        <v>82</v>
      </c>
      <c r="J234" t="s">
        <v>32</v>
      </c>
      <c r="K234">
        <v>360</v>
      </c>
    </row>
    <row r="235" spans="1:11" x14ac:dyDescent="0.25">
      <c r="A235" s="2">
        <v>38534</v>
      </c>
      <c r="B235">
        <v>4</v>
      </c>
      <c r="C235" t="s">
        <v>134</v>
      </c>
      <c r="D235">
        <v>1</v>
      </c>
      <c r="E235" t="s">
        <v>56</v>
      </c>
      <c r="F235">
        <v>1</v>
      </c>
      <c r="G235" t="s">
        <v>57</v>
      </c>
      <c r="H235" t="s">
        <v>86</v>
      </c>
      <c r="I235" t="s">
        <v>59</v>
      </c>
      <c r="J235" t="s">
        <v>32</v>
      </c>
      <c r="K235">
        <v>96</v>
      </c>
    </row>
    <row r="236" spans="1:11" x14ac:dyDescent="0.25">
      <c r="A236" s="2">
        <v>38534</v>
      </c>
      <c r="B236">
        <v>4</v>
      </c>
      <c r="C236" t="s">
        <v>134</v>
      </c>
      <c r="D236">
        <v>1</v>
      </c>
      <c r="E236" t="s">
        <v>56</v>
      </c>
      <c r="F236">
        <v>1</v>
      </c>
      <c r="G236" t="s">
        <v>57</v>
      </c>
      <c r="H236" t="s">
        <v>87</v>
      </c>
      <c r="I236" t="s">
        <v>88</v>
      </c>
      <c r="J236" t="s">
        <v>89</v>
      </c>
      <c r="K236">
        <v>11</v>
      </c>
    </row>
    <row r="237" spans="1:11" x14ac:dyDescent="0.25">
      <c r="A237" s="2">
        <v>38534</v>
      </c>
      <c r="B237">
        <v>4</v>
      </c>
      <c r="C237" t="s">
        <v>134</v>
      </c>
      <c r="D237">
        <v>2</v>
      </c>
      <c r="E237" t="s">
        <v>90</v>
      </c>
      <c r="F237">
        <v>1</v>
      </c>
      <c r="G237" t="s">
        <v>57</v>
      </c>
      <c r="H237" t="s">
        <v>91</v>
      </c>
      <c r="I237" t="s">
        <v>92</v>
      </c>
      <c r="J237" t="s">
        <v>32</v>
      </c>
      <c r="K237">
        <v>34545</v>
      </c>
    </row>
    <row r="238" spans="1:11" x14ac:dyDescent="0.25">
      <c r="A238" s="2">
        <v>38534</v>
      </c>
      <c r="B238">
        <v>4</v>
      </c>
      <c r="C238" t="s">
        <v>134</v>
      </c>
      <c r="D238">
        <v>6</v>
      </c>
      <c r="E238" t="s">
        <v>93</v>
      </c>
      <c r="F238">
        <v>1</v>
      </c>
      <c r="G238" t="s">
        <v>57</v>
      </c>
      <c r="H238" t="s">
        <v>94</v>
      </c>
      <c r="I238" t="s">
        <v>82</v>
      </c>
      <c r="J238" t="s">
        <v>32</v>
      </c>
      <c r="K238">
        <v>4505</v>
      </c>
    </row>
    <row r="239" spans="1:11" x14ac:dyDescent="0.25">
      <c r="A239" s="2">
        <v>38534</v>
      </c>
      <c r="B239">
        <v>4</v>
      </c>
      <c r="C239" t="s">
        <v>134</v>
      </c>
      <c r="D239">
        <v>6</v>
      </c>
      <c r="E239" t="s">
        <v>93</v>
      </c>
      <c r="F239">
        <v>2</v>
      </c>
      <c r="G239" t="s">
        <v>60</v>
      </c>
      <c r="H239" t="s">
        <v>94</v>
      </c>
      <c r="I239" t="s">
        <v>82</v>
      </c>
      <c r="J239" t="s">
        <v>32</v>
      </c>
      <c r="K239">
        <v>3900</v>
      </c>
    </row>
    <row r="240" spans="1:11" x14ac:dyDescent="0.25">
      <c r="A240" s="2">
        <v>38534</v>
      </c>
      <c r="B240">
        <v>4</v>
      </c>
      <c r="C240" t="s">
        <v>134</v>
      </c>
      <c r="D240">
        <v>6</v>
      </c>
      <c r="E240" t="s">
        <v>93</v>
      </c>
      <c r="F240">
        <v>2</v>
      </c>
      <c r="G240" t="s">
        <v>60</v>
      </c>
      <c r="H240" t="s">
        <v>95</v>
      </c>
      <c r="I240" t="s">
        <v>59</v>
      </c>
      <c r="J240" t="s">
        <v>32</v>
      </c>
      <c r="K240">
        <v>-1600</v>
      </c>
    </row>
    <row r="241" spans="1:11" x14ac:dyDescent="0.25">
      <c r="A241" s="2">
        <v>38534</v>
      </c>
      <c r="B241">
        <v>4</v>
      </c>
      <c r="C241" t="s">
        <v>134</v>
      </c>
      <c r="D241">
        <v>6</v>
      </c>
      <c r="E241" t="s">
        <v>93</v>
      </c>
      <c r="F241">
        <v>1</v>
      </c>
      <c r="G241" t="s">
        <v>57</v>
      </c>
      <c r="H241" t="s">
        <v>95</v>
      </c>
      <c r="I241" t="s">
        <v>59</v>
      </c>
      <c r="J241" t="s">
        <v>32</v>
      </c>
      <c r="K241">
        <v>-1126</v>
      </c>
    </row>
    <row r="242" spans="1:11" x14ac:dyDescent="0.25">
      <c r="A242" s="2">
        <v>38534</v>
      </c>
      <c r="B242">
        <v>4</v>
      </c>
      <c r="C242" t="s">
        <v>134</v>
      </c>
      <c r="D242">
        <v>6</v>
      </c>
      <c r="E242" t="s">
        <v>93</v>
      </c>
      <c r="F242">
        <v>1</v>
      </c>
      <c r="G242" t="s">
        <v>57</v>
      </c>
      <c r="H242" t="s">
        <v>96</v>
      </c>
      <c r="I242" t="s">
        <v>59</v>
      </c>
      <c r="J242" t="s">
        <v>32</v>
      </c>
      <c r="K242">
        <v>42417</v>
      </c>
    </row>
    <row r="243" spans="1:11" x14ac:dyDescent="0.25">
      <c r="A243" s="2">
        <v>38534</v>
      </c>
      <c r="B243">
        <v>4</v>
      </c>
      <c r="C243" t="s">
        <v>134</v>
      </c>
      <c r="D243">
        <v>6</v>
      </c>
      <c r="E243" t="s">
        <v>93</v>
      </c>
      <c r="F243">
        <v>2</v>
      </c>
      <c r="G243" t="s">
        <v>60</v>
      </c>
      <c r="H243" t="s">
        <v>96</v>
      </c>
      <c r="I243" t="s">
        <v>59</v>
      </c>
      <c r="J243" t="s">
        <v>32</v>
      </c>
      <c r="K243">
        <v>55000</v>
      </c>
    </row>
    <row r="244" spans="1:11" x14ac:dyDescent="0.25">
      <c r="A244" s="2">
        <v>38534</v>
      </c>
      <c r="B244">
        <v>4</v>
      </c>
      <c r="C244" t="s">
        <v>134</v>
      </c>
      <c r="D244">
        <v>6</v>
      </c>
      <c r="E244" t="s">
        <v>93</v>
      </c>
      <c r="F244">
        <v>2</v>
      </c>
      <c r="G244" t="s">
        <v>60</v>
      </c>
      <c r="H244" t="s">
        <v>97</v>
      </c>
      <c r="I244" t="s">
        <v>59</v>
      </c>
      <c r="J244" t="s">
        <v>32</v>
      </c>
      <c r="K244">
        <v>1500</v>
      </c>
    </row>
    <row r="245" spans="1:11" x14ac:dyDescent="0.25">
      <c r="A245" s="2">
        <v>38534</v>
      </c>
      <c r="B245">
        <v>4</v>
      </c>
      <c r="C245" t="s">
        <v>134</v>
      </c>
      <c r="D245">
        <v>6</v>
      </c>
      <c r="E245" t="s">
        <v>93</v>
      </c>
      <c r="F245">
        <v>1</v>
      </c>
      <c r="G245" t="s">
        <v>57</v>
      </c>
      <c r="H245" t="s">
        <v>97</v>
      </c>
      <c r="I245" t="s">
        <v>59</v>
      </c>
      <c r="J245" t="s">
        <v>32</v>
      </c>
      <c r="K245">
        <v>938</v>
      </c>
    </row>
    <row r="246" spans="1:11" x14ac:dyDescent="0.25">
      <c r="A246" s="2">
        <v>38534</v>
      </c>
      <c r="B246">
        <v>4</v>
      </c>
      <c r="C246" t="s">
        <v>134</v>
      </c>
      <c r="D246">
        <v>6</v>
      </c>
      <c r="E246" t="s">
        <v>93</v>
      </c>
      <c r="F246">
        <v>1</v>
      </c>
      <c r="G246" t="s">
        <v>57</v>
      </c>
      <c r="H246" t="s">
        <v>58</v>
      </c>
      <c r="I246" t="s">
        <v>59</v>
      </c>
      <c r="J246" t="s">
        <v>32</v>
      </c>
      <c r="K246">
        <v>26040</v>
      </c>
    </row>
    <row r="247" spans="1:11" x14ac:dyDescent="0.25">
      <c r="A247" s="2">
        <v>38534</v>
      </c>
      <c r="B247">
        <v>4</v>
      </c>
      <c r="C247" t="s">
        <v>134</v>
      </c>
      <c r="D247">
        <v>6</v>
      </c>
      <c r="E247" t="s">
        <v>93</v>
      </c>
      <c r="F247">
        <v>2</v>
      </c>
      <c r="G247" t="s">
        <v>60</v>
      </c>
      <c r="H247" t="s">
        <v>58</v>
      </c>
      <c r="I247" t="s">
        <v>59</v>
      </c>
      <c r="J247" t="s">
        <v>32</v>
      </c>
      <c r="K247">
        <v>22700</v>
      </c>
    </row>
    <row r="248" spans="1:11" x14ac:dyDescent="0.25">
      <c r="A248" s="2">
        <v>38534</v>
      </c>
      <c r="B248">
        <v>4</v>
      </c>
      <c r="C248" t="s">
        <v>134</v>
      </c>
      <c r="D248">
        <v>6</v>
      </c>
      <c r="E248" t="s">
        <v>93</v>
      </c>
      <c r="F248">
        <v>2</v>
      </c>
      <c r="G248" t="s">
        <v>60</v>
      </c>
      <c r="H248" t="s">
        <v>61</v>
      </c>
      <c r="I248" t="s">
        <v>59</v>
      </c>
      <c r="J248" t="s">
        <v>32</v>
      </c>
      <c r="K248">
        <v>2000</v>
      </c>
    </row>
    <row r="249" spans="1:11" x14ac:dyDescent="0.25">
      <c r="A249" s="2">
        <v>38534</v>
      </c>
      <c r="B249">
        <v>4</v>
      </c>
      <c r="C249" t="s">
        <v>134</v>
      </c>
      <c r="D249">
        <v>6</v>
      </c>
      <c r="E249" t="s">
        <v>93</v>
      </c>
      <c r="F249">
        <v>1</v>
      </c>
      <c r="G249" t="s">
        <v>57</v>
      </c>
      <c r="H249" t="s">
        <v>61</v>
      </c>
      <c r="I249" t="s">
        <v>59</v>
      </c>
      <c r="J249" t="s">
        <v>32</v>
      </c>
      <c r="K249">
        <v>2083</v>
      </c>
    </row>
    <row r="250" spans="1:11" x14ac:dyDescent="0.25">
      <c r="A250" s="2">
        <v>38534</v>
      </c>
      <c r="B250">
        <v>4</v>
      </c>
      <c r="C250" t="s">
        <v>134</v>
      </c>
      <c r="D250">
        <v>6</v>
      </c>
      <c r="E250" t="s">
        <v>93</v>
      </c>
      <c r="F250">
        <v>1</v>
      </c>
      <c r="G250" t="s">
        <v>57</v>
      </c>
      <c r="H250" t="s">
        <v>62</v>
      </c>
      <c r="I250" t="s">
        <v>59</v>
      </c>
      <c r="J250" t="s">
        <v>32</v>
      </c>
      <c r="K250">
        <v>1562</v>
      </c>
    </row>
    <row r="251" spans="1:11" x14ac:dyDescent="0.25">
      <c r="A251" s="2">
        <v>38534</v>
      </c>
      <c r="B251">
        <v>4</v>
      </c>
      <c r="C251" t="s">
        <v>134</v>
      </c>
      <c r="D251">
        <v>6</v>
      </c>
      <c r="E251" t="s">
        <v>93</v>
      </c>
      <c r="F251">
        <v>2</v>
      </c>
      <c r="G251" t="s">
        <v>60</v>
      </c>
      <c r="H251" t="s">
        <v>62</v>
      </c>
      <c r="I251" t="s">
        <v>59</v>
      </c>
      <c r="J251" t="s">
        <v>32</v>
      </c>
      <c r="K251">
        <v>1600</v>
      </c>
    </row>
    <row r="252" spans="1:11" x14ac:dyDescent="0.25">
      <c r="A252" s="2">
        <v>38534</v>
      </c>
      <c r="B252">
        <v>4</v>
      </c>
      <c r="C252" t="s">
        <v>134</v>
      </c>
      <c r="D252">
        <v>6</v>
      </c>
      <c r="E252" t="s">
        <v>93</v>
      </c>
      <c r="F252">
        <v>2</v>
      </c>
      <c r="G252" t="s">
        <v>60</v>
      </c>
      <c r="H252" t="s">
        <v>98</v>
      </c>
      <c r="I252" t="s">
        <v>59</v>
      </c>
      <c r="J252" t="s">
        <v>32</v>
      </c>
      <c r="K252">
        <v>6200</v>
      </c>
    </row>
    <row r="253" spans="1:11" x14ac:dyDescent="0.25">
      <c r="A253" s="2">
        <v>38534</v>
      </c>
      <c r="B253">
        <v>4</v>
      </c>
      <c r="C253" t="s">
        <v>134</v>
      </c>
      <c r="D253">
        <v>6</v>
      </c>
      <c r="E253" t="s">
        <v>93</v>
      </c>
      <c r="F253">
        <v>1</v>
      </c>
      <c r="G253" t="s">
        <v>57</v>
      </c>
      <c r="H253" t="s">
        <v>98</v>
      </c>
      <c r="I253" t="s">
        <v>59</v>
      </c>
      <c r="J253" t="s">
        <v>32</v>
      </c>
      <c r="K253">
        <v>3379</v>
      </c>
    </row>
    <row r="254" spans="1:11" x14ac:dyDescent="0.25">
      <c r="A254" s="2">
        <v>38534</v>
      </c>
      <c r="B254">
        <v>4</v>
      </c>
      <c r="C254" t="s">
        <v>134</v>
      </c>
      <c r="D254">
        <v>6</v>
      </c>
      <c r="E254" t="s">
        <v>93</v>
      </c>
      <c r="F254">
        <v>1</v>
      </c>
      <c r="G254" t="s">
        <v>57</v>
      </c>
      <c r="H254" t="s">
        <v>63</v>
      </c>
      <c r="I254" t="s">
        <v>59</v>
      </c>
      <c r="J254" t="s">
        <v>32</v>
      </c>
      <c r="K254">
        <v>378</v>
      </c>
    </row>
    <row r="255" spans="1:11" x14ac:dyDescent="0.25">
      <c r="A255" s="2">
        <v>38534</v>
      </c>
      <c r="B255">
        <v>4</v>
      </c>
      <c r="C255" t="s">
        <v>134</v>
      </c>
      <c r="D255">
        <v>6</v>
      </c>
      <c r="E255" t="s">
        <v>93</v>
      </c>
      <c r="F255">
        <v>2</v>
      </c>
      <c r="G255" t="s">
        <v>60</v>
      </c>
      <c r="H255" t="s">
        <v>63</v>
      </c>
      <c r="I255" t="s">
        <v>59</v>
      </c>
      <c r="J255" t="s">
        <v>32</v>
      </c>
      <c r="K255">
        <v>380</v>
      </c>
    </row>
    <row r="256" spans="1:11" x14ac:dyDescent="0.25">
      <c r="A256" s="2">
        <v>38534</v>
      </c>
      <c r="B256">
        <v>4</v>
      </c>
      <c r="C256" t="s">
        <v>134</v>
      </c>
      <c r="D256">
        <v>6</v>
      </c>
      <c r="E256" t="s">
        <v>93</v>
      </c>
      <c r="F256">
        <v>2</v>
      </c>
      <c r="G256" t="s">
        <v>60</v>
      </c>
      <c r="H256" t="s">
        <v>64</v>
      </c>
      <c r="I256" t="s">
        <v>59</v>
      </c>
      <c r="J256" t="s">
        <v>32</v>
      </c>
      <c r="K256">
        <v>380</v>
      </c>
    </row>
    <row r="257" spans="1:11" x14ac:dyDescent="0.25">
      <c r="A257" s="2">
        <v>38534</v>
      </c>
      <c r="B257">
        <v>4</v>
      </c>
      <c r="C257" t="s">
        <v>134</v>
      </c>
      <c r="D257">
        <v>6</v>
      </c>
      <c r="E257" t="s">
        <v>93</v>
      </c>
      <c r="F257">
        <v>1</v>
      </c>
      <c r="G257" t="s">
        <v>57</v>
      </c>
      <c r="H257" t="s">
        <v>64</v>
      </c>
      <c r="I257" t="s">
        <v>59</v>
      </c>
      <c r="J257" t="s">
        <v>32</v>
      </c>
      <c r="K257">
        <v>343</v>
      </c>
    </row>
    <row r="258" spans="1:11" x14ac:dyDescent="0.25">
      <c r="A258" s="2">
        <v>38534</v>
      </c>
      <c r="B258">
        <v>4</v>
      </c>
      <c r="C258" t="s">
        <v>134</v>
      </c>
      <c r="D258">
        <v>6</v>
      </c>
      <c r="E258" t="s">
        <v>93</v>
      </c>
      <c r="F258">
        <v>1</v>
      </c>
      <c r="G258" t="s">
        <v>57</v>
      </c>
      <c r="H258" t="s">
        <v>65</v>
      </c>
      <c r="I258" t="s">
        <v>59</v>
      </c>
      <c r="J258" t="s">
        <v>32</v>
      </c>
      <c r="K258">
        <v>182</v>
      </c>
    </row>
    <row r="259" spans="1:11" x14ac:dyDescent="0.25">
      <c r="A259" s="2">
        <v>38534</v>
      </c>
      <c r="B259">
        <v>4</v>
      </c>
      <c r="C259" t="s">
        <v>134</v>
      </c>
      <c r="D259">
        <v>6</v>
      </c>
      <c r="E259" t="s">
        <v>93</v>
      </c>
      <c r="F259">
        <v>2</v>
      </c>
      <c r="G259" t="s">
        <v>60</v>
      </c>
      <c r="H259" t="s">
        <v>65</v>
      </c>
      <c r="I259" t="s">
        <v>59</v>
      </c>
      <c r="J259" t="s">
        <v>32</v>
      </c>
      <c r="K259">
        <v>200</v>
      </c>
    </row>
    <row r="260" spans="1:11" x14ac:dyDescent="0.25">
      <c r="A260" s="2">
        <v>38534</v>
      </c>
      <c r="B260">
        <v>4</v>
      </c>
      <c r="C260" t="s">
        <v>134</v>
      </c>
      <c r="D260">
        <v>6</v>
      </c>
      <c r="E260" t="s">
        <v>93</v>
      </c>
      <c r="F260">
        <v>2</v>
      </c>
      <c r="G260" t="s">
        <v>60</v>
      </c>
      <c r="H260" t="s">
        <v>66</v>
      </c>
      <c r="I260" t="s">
        <v>59</v>
      </c>
      <c r="J260" t="s">
        <v>32</v>
      </c>
      <c r="K260">
        <v>100</v>
      </c>
    </row>
    <row r="261" spans="1:11" x14ac:dyDescent="0.25">
      <c r="A261" s="2">
        <v>38534</v>
      </c>
      <c r="B261">
        <v>4</v>
      </c>
      <c r="C261" t="s">
        <v>134</v>
      </c>
      <c r="D261">
        <v>6</v>
      </c>
      <c r="E261" t="s">
        <v>93</v>
      </c>
      <c r="F261">
        <v>1</v>
      </c>
      <c r="G261" t="s">
        <v>57</v>
      </c>
      <c r="H261" t="s">
        <v>66</v>
      </c>
      <c r="I261" t="s">
        <v>59</v>
      </c>
      <c r="J261" t="s">
        <v>32</v>
      </c>
      <c r="K261">
        <v>133</v>
      </c>
    </row>
    <row r="262" spans="1:11" x14ac:dyDescent="0.25">
      <c r="A262" s="2">
        <v>38534</v>
      </c>
      <c r="B262">
        <v>4</v>
      </c>
      <c r="C262" t="s">
        <v>134</v>
      </c>
      <c r="D262">
        <v>6</v>
      </c>
      <c r="E262" t="s">
        <v>93</v>
      </c>
      <c r="F262">
        <v>1</v>
      </c>
      <c r="G262" t="s">
        <v>57</v>
      </c>
      <c r="H262" t="s">
        <v>67</v>
      </c>
      <c r="I262" t="s">
        <v>59</v>
      </c>
      <c r="J262" t="s">
        <v>32</v>
      </c>
      <c r="K262">
        <v>38</v>
      </c>
    </row>
    <row r="263" spans="1:11" x14ac:dyDescent="0.25">
      <c r="A263" s="2">
        <v>38534</v>
      </c>
      <c r="B263">
        <v>4</v>
      </c>
      <c r="C263" t="s">
        <v>134</v>
      </c>
      <c r="D263">
        <v>6</v>
      </c>
      <c r="E263" t="s">
        <v>93</v>
      </c>
      <c r="F263">
        <v>1</v>
      </c>
      <c r="G263" t="s">
        <v>57</v>
      </c>
      <c r="H263" t="s">
        <v>68</v>
      </c>
      <c r="I263" t="s">
        <v>59</v>
      </c>
      <c r="J263" t="s">
        <v>32</v>
      </c>
      <c r="K263">
        <v>63</v>
      </c>
    </row>
    <row r="264" spans="1:11" x14ac:dyDescent="0.25">
      <c r="A264" s="2">
        <v>38534</v>
      </c>
      <c r="B264">
        <v>4</v>
      </c>
      <c r="C264" t="s">
        <v>134</v>
      </c>
      <c r="D264">
        <v>6</v>
      </c>
      <c r="E264" t="s">
        <v>93</v>
      </c>
      <c r="F264">
        <v>2</v>
      </c>
      <c r="G264" t="s">
        <v>60</v>
      </c>
      <c r="H264" t="s">
        <v>68</v>
      </c>
      <c r="I264" t="s">
        <v>59</v>
      </c>
      <c r="J264" t="s">
        <v>32</v>
      </c>
      <c r="K264">
        <v>70</v>
      </c>
    </row>
    <row r="265" spans="1:11" x14ac:dyDescent="0.25">
      <c r="A265" s="2">
        <v>38534</v>
      </c>
      <c r="B265">
        <v>4</v>
      </c>
      <c r="C265" t="s">
        <v>134</v>
      </c>
      <c r="D265">
        <v>6</v>
      </c>
      <c r="E265" t="s">
        <v>93</v>
      </c>
      <c r="F265">
        <v>2</v>
      </c>
      <c r="G265" t="s">
        <v>60</v>
      </c>
      <c r="H265" t="s">
        <v>99</v>
      </c>
      <c r="I265" t="s">
        <v>59</v>
      </c>
      <c r="J265" t="s">
        <v>32</v>
      </c>
      <c r="K265">
        <v>380</v>
      </c>
    </row>
    <row r="266" spans="1:11" x14ac:dyDescent="0.25">
      <c r="A266" s="2">
        <v>38534</v>
      </c>
      <c r="B266">
        <v>4</v>
      </c>
      <c r="C266" t="s">
        <v>134</v>
      </c>
      <c r="D266">
        <v>6</v>
      </c>
      <c r="E266" t="s">
        <v>93</v>
      </c>
      <c r="F266">
        <v>1</v>
      </c>
      <c r="G266" t="s">
        <v>57</v>
      </c>
      <c r="H266" t="s">
        <v>99</v>
      </c>
      <c r="I266" t="s">
        <v>59</v>
      </c>
      <c r="J266" t="s">
        <v>32</v>
      </c>
      <c r="K266">
        <v>225</v>
      </c>
    </row>
    <row r="267" spans="1:11" x14ac:dyDescent="0.25">
      <c r="A267" s="2">
        <v>38534</v>
      </c>
      <c r="B267">
        <v>4</v>
      </c>
      <c r="C267" t="s">
        <v>134</v>
      </c>
      <c r="D267">
        <v>6</v>
      </c>
      <c r="E267" t="s">
        <v>93</v>
      </c>
      <c r="F267">
        <v>1</v>
      </c>
      <c r="G267" t="s">
        <v>57</v>
      </c>
      <c r="H267" t="s">
        <v>69</v>
      </c>
      <c r="I267" t="s">
        <v>59</v>
      </c>
      <c r="J267" t="s">
        <v>32</v>
      </c>
      <c r="K267">
        <v>263</v>
      </c>
    </row>
    <row r="268" spans="1:11" x14ac:dyDescent="0.25">
      <c r="A268" s="2">
        <v>38534</v>
      </c>
      <c r="B268">
        <v>4</v>
      </c>
      <c r="C268" t="s">
        <v>134</v>
      </c>
      <c r="D268">
        <v>6</v>
      </c>
      <c r="E268" t="s">
        <v>93</v>
      </c>
      <c r="F268">
        <v>2</v>
      </c>
      <c r="G268" t="s">
        <v>60</v>
      </c>
      <c r="H268" t="s">
        <v>69</v>
      </c>
      <c r="I268" t="s">
        <v>59</v>
      </c>
      <c r="J268" t="s">
        <v>32</v>
      </c>
      <c r="K268">
        <v>300</v>
      </c>
    </row>
    <row r="269" spans="1:11" x14ac:dyDescent="0.25">
      <c r="A269" s="2">
        <v>38534</v>
      </c>
      <c r="B269">
        <v>4</v>
      </c>
      <c r="C269" t="s">
        <v>134</v>
      </c>
      <c r="D269">
        <v>6</v>
      </c>
      <c r="E269" t="s">
        <v>93</v>
      </c>
      <c r="F269">
        <v>2</v>
      </c>
      <c r="G269" t="s">
        <v>60</v>
      </c>
      <c r="H269" t="s">
        <v>70</v>
      </c>
      <c r="I269" t="s">
        <v>59</v>
      </c>
      <c r="J269" t="s">
        <v>32</v>
      </c>
      <c r="K269">
        <v>200</v>
      </c>
    </row>
    <row r="270" spans="1:11" x14ac:dyDescent="0.25">
      <c r="A270" s="2">
        <v>38534</v>
      </c>
      <c r="B270">
        <v>4</v>
      </c>
      <c r="C270" t="s">
        <v>134</v>
      </c>
      <c r="D270">
        <v>6</v>
      </c>
      <c r="E270" t="s">
        <v>93</v>
      </c>
      <c r="F270">
        <v>1</v>
      </c>
      <c r="G270" t="s">
        <v>57</v>
      </c>
      <c r="H270" t="s">
        <v>70</v>
      </c>
      <c r="I270" t="s">
        <v>59</v>
      </c>
      <c r="J270" t="s">
        <v>32</v>
      </c>
      <c r="K270">
        <v>187</v>
      </c>
    </row>
    <row r="271" spans="1:11" x14ac:dyDescent="0.25">
      <c r="A271" s="2">
        <v>38534</v>
      </c>
      <c r="B271">
        <v>4</v>
      </c>
      <c r="C271" t="s">
        <v>134</v>
      </c>
      <c r="D271">
        <v>6</v>
      </c>
      <c r="E271" t="s">
        <v>93</v>
      </c>
      <c r="F271">
        <v>1</v>
      </c>
      <c r="G271" t="s">
        <v>57</v>
      </c>
      <c r="H271" t="s">
        <v>71</v>
      </c>
      <c r="I271" t="s">
        <v>59</v>
      </c>
      <c r="J271" t="s">
        <v>32</v>
      </c>
      <c r="K271">
        <v>1201</v>
      </c>
    </row>
    <row r="272" spans="1:11" x14ac:dyDescent="0.25">
      <c r="A272" s="2">
        <v>38534</v>
      </c>
      <c r="B272">
        <v>4</v>
      </c>
      <c r="C272" t="s">
        <v>134</v>
      </c>
      <c r="D272">
        <v>6</v>
      </c>
      <c r="E272" t="s">
        <v>93</v>
      </c>
      <c r="F272">
        <v>2</v>
      </c>
      <c r="G272" t="s">
        <v>60</v>
      </c>
      <c r="H272" t="s">
        <v>71</v>
      </c>
      <c r="I272" t="s">
        <v>59</v>
      </c>
      <c r="J272" t="s">
        <v>32</v>
      </c>
      <c r="K272">
        <v>1500</v>
      </c>
    </row>
    <row r="273" spans="1:11" x14ac:dyDescent="0.25">
      <c r="A273" s="2">
        <v>38534</v>
      </c>
      <c r="B273">
        <v>4</v>
      </c>
      <c r="C273" t="s">
        <v>134</v>
      </c>
      <c r="D273">
        <v>6</v>
      </c>
      <c r="E273" t="s">
        <v>93</v>
      </c>
      <c r="F273">
        <v>2</v>
      </c>
      <c r="G273" t="s">
        <v>60</v>
      </c>
      <c r="H273" t="s">
        <v>72</v>
      </c>
      <c r="I273" t="s">
        <v>59</v>
      </c>
      <c r="J273" t="s">
        <v>32</v>
      </c>
      <c r="K273">
        <v>550</v>
      </c>
    </row>
    <row r="274" spans="1:11" x14ac:dyDescent="0.25">
      <c r="A274" s="2">
        <v>38534</v>
      </c>
      <c r="B274">
        <v>4</v>
      </c>
      <c r="C274" t="s">
        <v>134</v>
      </c>
      <c r="D274">
        <v>6</v>
      </c>
      <c r="E274" t="s">
        <v>93</v>
      </c>
      <c r="F274">
        <v>1</v>
      </c>
      <c r="G274" t="s">
        <v>57</v>
      </c>
      <c r="H274" t="s">
        <v>72</v>
      </c>
      <c r="I274" t="s">
        <v>59</v>
      </c>
      <c r="J274" t="s">
        <v>32</v>
      </c>
      <c r="K274">
        <v>604</v>
      </c>
    </row>
    <row r="275" spans="1:11" x14ac:dyDescent="0.25">
      <c r="A275" s="2">
        <v>38534</v>
      </c>
      <c r="B275">
        <v>4</v>
      </c>
      <c r="C275" t="s">
        <v>134</v>
      </c>
      <c r="D275">
        <v>6</v>
      </c>
      <c r="E275" t="s">
        <v>93</v>
      </c>
      <c r="F275">
        <v>1</v>
      </c>
      <c r="G275" t="s">
        <v>57</v>
      </c>
      <c r="H275" t="s">
        <v>73</v>
      </c>
      <c r="I275" t="s">
        <v>59</v>
      </c>
      <c r="J275" t="s">
        <v>32</v>
      </c>
      <c r="K275">
        <v>193</v>
      </c>
    </row>
    <row r="276" spans="1:11" x14ac:dyDescent="0.25">
      <c r="A276" s="2">
        <v>38534</v>
      </c>
      <c r="B276">
        <v>4</v>
      </c>
      <c r="C276" t="s">
        <v>134</v>
      </c>
      <c r="D276">
        <v>6</v>
      </c>
      <c r="E276" t="s">
        <v>93</v>
      </c>
      <c r="F276">
        <v>2</v>
      </c>
      <c r="G276" t="s">
        <v>60</v>
      </c>
      <c r="H276" t="s">
        <v>73</v>
      </c>
      <c r="I276" t="s">
        <v>59</v>
      </c>
      <c r="J276" t="s">
        <v>32</v>
      </c>
      <c r="K276">
        <v>200</v>
      </c>
    </row>
    <row r="277" spans="1:11" x14ac:dyDescent="0.25">
      <c r="A277" s="2">
        <v>38534</v>
      </c>
      <c r="B277">
        <v>4</v>
      </c>
      <c r="C277" t="s">
        <v>134</v>
      </c>
      <c r="D277">
        <v>6</v>
      </c>
      <c r="E277" t="s">
        <v>93</v>
      </c>
      <c r="F277">
        <v>2</v>
      </c>
      <c r="G277" t="s">
        <v>60</v>
      </c>
      <c r="H277" t="s">
        <v>74</v>
      </c>
      <c r="I277" t="s">
        <v>59</v>
      </c>
      <c r="J277" t="s">
        <v>32</v>
      </c>
      <c r="K277">
        <v>650</v>
      </c>
    </row>
    <row r="278" spans="1:11" x14ac:dyDescent="0.25">
      <c r="A278" s="2">
        <v>38534</v>
      </c>
      <c r="B278">
        <v>4</v>
      </c>
      <c r="C278" t="s">
        <v>134</v>
      </c>
      <c r="D278">
        <v>6</v>
      </c>
      <c r="E278" t="s">
        <v>93</v>
      </c>
      <c r="F278">
        <v>1</v>
      </c>
      <c r="G278" t="s">
        <v>57</v>
      </c>
      <c r="H278" t="s">
        <v>74</v>
      </c>
      <c r="I278" t="s">
        <v>59</v>
      </c>
      <c r="J278" t="s">
        <v>32</v>
      </c>
      <c r="K278">
        <v>749</v>
      </c>
    </row>
    <row r="279" spans="1:11" x14ac:dyDescent="0.25">
      <c r="A279" s="2">
        <v>38534</v>
      </c>
      <c r="B279">
        <v>4</v>
      </c>
      <c r="C279" t="s">
        <v>134</v>
      </c>
      <c r="D279">
        <v>6</v>
      </c>
      <c r="E279" t="s">
        <v>93</v>
      </c>
      <c r="F279">
        <v>1</v>
      </c>
      <c r="G279" t="s">
        <v>57</v>
      </c>
      <c r="H279" t="s">
        <v>75</v>
      </c>
      <c r="I279" t="s">
        <v>59</v>
      </c>
      <c r="J279" t="s">
        <v>32</v>
      </c>
      <c r="K279">
        <v>464</v>
      </c>
    </row>
    <row r="280" spans="1:11" x14ac:dyDescent="0.25">
      <c r="A280" s="2">
        <v>38534</v>
      </c>
      <c r="B280">
        <v>4</v>
      </c>
      <c r="C280" t="s">
        <v>134</v>
      </c>
      <c r="D280">
        <v>6</v>
      </c>
      <c r="E280" t="s">
        <v>93</v>
      </c>
      <c r="F280">
        <v>2</v>
      </c>
      <c r="G280" t="s">
        <v>60</v>
      </c>
      <c r="H280" t="s">
        <v>75</v>
      </c>
      <c r="I280" t="s">
        <v>59</v>
      </c>
      <c r="J280" t="s">
        <v>32</v>
      </c>
      <c r="K280">
        <v>380</v>
      </c>
    </row>
    <row r="281" spans="1:11" x14ac:dyDescent="0.25">
      <c r="A281" s="2">
        <v>38534</v>
      </c>
      <c r="B281">
        <v>4</v>
      </c>
      <c r="C281" t="s">
        <v>134</v>
      </c>
      <c r="D281">
        <v>6</v>
      </c>
      <c r="E281" t="s">
        <v>93</v>
      </c>
      <c r="F281">
        <v>2</v>
      </c>
      <c r="G281" t="s">
        <v>60</v>
      </c>
      <c r="H281" t="s">
        <v>76</v>
      </c>
      <c r="I281" t="s">
        <v>59</v>
      </c>
      <c r="J281" t="s">
        <v>32</v>
      </c>
      <c r="K281">
        <v>50</v>
      </c>
    </row>
    <row r="282" spans="1:11" x14ac:dyDescent="0.25">
      <c r="A282" s="2">
        <v>38534</v>
      </c>
      <c r="B282">
        <v>4</v>
      </c>
      <c r="C282" t="s">
        <v>134</v>
      </c>
      <c r="D282">
        <v>6</v>
      </c>
      <c r="E282" t="s">
        <v>93</v>
      </c>
      <c r="F282">
        <v>1</v>
      </c>
      <c r="G282" t="s">
        <v>57</v>
      </c>
      <c r="H282" t="s">
        <v>76</v>
      </c>
      <c r="I282" t="s">
        <v>59</v>
      </c>
      <c r="J282" t="s">
        <v>32</v>
      </c>
      <c r="K282">
        <v>47</v>
      </c>
    </row>
    <row r="283" spans="1:11" x14ac:dyDescent="0.25">
      <c r="A283" s="2">
        <v>38534</v>
      </c>
      <c r="B283">
        <v>4</v>
      </c>
      <c r="C283" t="s">
        <v>134</v>
      </c>
      <c r="D283">
        <v>6</v>
      </c>
      <c r="E283" t="s">
        <v>93</v>
      </c>
      <c r="F283">
        <v>1</v>
      </c>
      <c r="G283" t="s">
        <v>57</v>
      </c>
      <c r="H283" t="s">
        <v>77</v>
      </c>
      <c r="I283" t="s">
        <v>59</v>
      </c>
      <c r="J283" t="s">
        <v>32</v>
      </c>
      <c r="K283">
        <v>165</v>
      </c>
    </row>
    <row r="284" spans="1:11" x14ac:dyDescent="0.25">
      <c r="A284" s="2">
        <v>38534</v>
      </c>
      <c r="B284">
        <v>4</v>
      </c>
      <c r="C284" t="s">
        <v>134</v>
      </c>
      <c r="D284">
        <v>6</v>
      </c>
      <c r="E284" t="s">
        <v>93</v>
      </c>
      <c r="F284">
        <v>2</v>
      </c>
      <c r="G284" t="s">
        <v>60</v>
      </c>
      <c r="H284" t="s">
        <v>77</v>
      </c>
      <c r="I284" t="s">
        <v>59</v>
      </c>
      <c r="J284" t="s">
        <v>32</v>
      </c>
      <c r="K284">
        <v>100</v>
      </c>
    </row>
    <row r="285" spans="1:11" x14ac:dyDescent="0.25">
      <c r="A285" s="2">
        <v>38534</v>
      </c>
      <c r="B285">
        <v>4</v>
      </c>
      <c r="C285" t="s">
        <v>134</v>
      </c>
      <c r="D285">
        <v>6</v>
      </c>
      <c r="E285" t="s">
        <v>93</v>
      </c>
      <c r="F285">
        <v>2</v>
      </c>
      <c r="G285" t="s">
        <v>60</v>
      </c>
      <c r="H285" t="s">
        <v>78</v>
      </c>
      <c r="I285" t="s">
        <v>59</v>
      </c>
      <c r="J285" t="s">
        <v>32</v>
      </c>
      <c r="K285">
        <v>100</v>
      </c>
    </row>
    <row r="286" spans="1:11" x14ac:dyDescent="0.25">
      <c r="A286" s="2">
        <v>38534</v>
      </c>
      <c r="B286">
        <v>4</v>
      </c>
      <c r="C286" t="s">
        <v>134</v>
      </c>
      <c r="D286">
        <v>6</v>
      </c>
      <c r="E286" t="s">
        <v>93</v>
      </c>
      <c r="F286">
        <v>1</v>
      </c>
      <c r="G286" t="s">
        <v>57</v>
      </c>
      <c r="H286" t="s">
        <v>78</v>
      </c>
      <c r="I286" t="s">
        <v>59</v>
      </c>
      <c r="J286" t="s">
        <v>32</v>
      </c>
      <c r="K286">
        <v>145</v>
      </c>
    </row>
    <row r="287" spans="1:11" x14ac:dyDescent="0.25">
      <c r="A287" s="2">
        <v>38534</v>
      </c>
      <c r="B287">
        <v>4</v>
      </c>
      <c r="C287" t="s">
        <v>134</v>
      </c>
      <c r="D287">
        <v>6</v>
      </c>
      <c r="E287" t="s">
        <v>93</v>
      </c>
      <c r="F287">
        <v>1</v>
      </c>
      <c r="G287" t="s">
        <v>57</v>
      </c>
      <c r="H287" t="s">
        <v>79</v>
      </c>
      <c r="I287" t="s">
        <v>59</v>
      </c>
      <c r="J287" t="s">
        <v>32</v>
      </c>
      <c r="K287">
        <v>132</v>
      </c>
    </row>
    <row r="288" spans="1:11" x14ac:dyDescent="0.25">
      <c r="A288" s="2">
        <v>38534</v>
      </c>
      <c r="B288">
        <v>4</v>
      </c>
      <c r="C288" t="s">
        <v>134</v>
      </c>
      <c r="D288">
        <v>6</v>
      </c>
      <c r="E288" t="s">
        <v>93</v>
      </c>
      <c r="F288">
        <v>2</v>
      </c>
      <c r="G288" t="s">
        <v>60</v>
      </c>
      <c r="H288" t="s">
        <v>79</v>
      </c>
      <c r="I288" t="s">
        <v>59</v>
      </c>
      <c r="J288" t="s">
        <v>32</v>
      </c>
      <c r="K288">
        <v>100</v>
      </c>
    </row>
    <row r="289" spans="1:11" x14ac:dyDescent="0.25">
      <c r="A289" s="2">
        <v>38534</v>
      </c>
      <c r="B289">
        <v>4</v>
      </c>
      <c r="C289" t="s">
        <v>134</v>
      </c>
      <c r="D289">
        <v>6</v>
      </c>
      <c r="E289" t="s">
        <v>93</v>
      </c>
      <c r="F289">
        <v>2</v>
      </c>
      <c r="G289" t="s">
        <v>60</v>
      </c>
      <c r="H289" t="s">
        <v>80</v>
      </c>
      <c r="I289" t="s">
        <v>59</v>
      </c>
      <c r="J289" t="s">
        <v>32</v>
      </c>
      <c r="K289">
        <v>550</v>
      </c>
    </row>
    <row r="290" spans="1:11" x14ac:dyDescent="0.25">
      <c r="A290" s="2">
        <v>38534</v>
      </c>
      <c r="B290">
        <v>4</v>
      </c>
      <c r="C290" t="s">
        <v>134</v>
      </c>
      <c r="D290">
        <v>6</v>
      </c>
      <c r="E290" t="s">
        <v>93</v>
      </c>
      <c r="F290">
        <v>1</v>
      </c>
      <c r="G290" t="s">
        <v>57</v>
      </c>
      <c r="H290" t="s">
        <v>80</v>
      </c>
      <c r="I290" t="s">
        <v>59</v>
      </c>
      <c r="J290" t="s">
        <v>32</v>
      </c>
      <c r="K290">
        <v>630</v>
      </c>
    </row>
    <row r="291" spans="1:11" x14ac:dyDescent="0.25">
      <c r="A291" s="2">
        <v>38534</v>
      </c>
      <c r="B291">
        <v>4</v>
      </c>
      <c r="C291" t="s">
        <v>134</v>
      </c>
      <c r="D291">
        <v>6</v>
      </c>
      <c r="E291" t="s">
        <v>93</v>
      </c>
      <c r="F291">
        <v>1</v>
      </c>
      <c r="G291" t="s">
        <v>57</v>
      </c>
      <c r="H291" t="s">
        <v>81</v>
      </c>
      <c r="I291" t="s">
        <v>82</v>
      </c>
      <c r="J291" t="s">
        <v>32</v>
      </c>
      <c r="K291">
        <v>142</v>
      </c>
    </row>
    <row r="292" spans="1:11" x14ac:dyDescent="0.25">
      <c r="A292" s="2">
        <v>38534</v>
      </c>
      <c r="B292">
        <v>4</v>
      </c>
      <c r="C292" t="s">
        <v>134</v>
      </c>
      <c r="D292">
        <v>6</v>
      </c>
      <c r="E292" t="s">
        <v>93</v>
      </c>
      <c r="F292">
        <v>1</v>
      </c>
      <c r="G292" t="s">
        <v>57</v>
      </c>
      <c r="H292" t="s">
        <v>83</v>
      </c>
      <c r="I292" t="s">
        <v>59</v>
      </c>
      <c r="J292" t="s">
        <v>32</v>
      </c>
      <c r="K292">
        <v>218</v>
      </c>
    </row>
    <row r="293" spans="1:11" x14ac:dyDescent="0.25">
      <c r="A293" s="2">
        <v>38534</v>
      </c>
      <c r="B293">
        <v>4</v>
      </c>
      <c r="C293" t="s">
        <v>134</v>
      </c>
      <c r="D293">
        <v>6</v>
      </c>
      <c r="E293" t="s">
        <v>93</v>
      </c>
      <c r="F293">
        <v>1</v>
      </c>
      <c r="G293" t="s">
        <v>57</v>
      </c>
      <c r="H293" t="s">
        <v>84</v>
      </c>
      <c r="I293" t="s">
        <v>82</v>
      </c>
      <c r="J293" t="s">
        <v>32</v>
      </c>
      <c r="K293">
        <v>-174</v>
      </c>
    </row>
    <row r="294" spans="1:11" x14ac:dyDescent="0.25">
      <c r="A294" s="2">
        <v>38534</v>
      </c>
      <c r="B294">
        <v>4</v>
      </c>
      <c r="C294" t="s">
        <v>134</v>
      </c>
      <c r="D294">
        <v>6</v>
      </c>
      <c r="E294" t="s">
        <v>93</v>
      </c>
      <c r="F294">
        <v>1</v>
      </c>
      <c r="G294" t="s">
        <v>57</v>
      </c>
      <c r="H294" t="s">
        <v>85</v>
      </c>
      <c r="I294" t="s">
        <v>82</v>
      </c>
      <c r="J294" t="s">
        <v>32</v>
      </c>
      <c r="K294">
        <v>291</v>
      </c>
    </row>
    <row r="295" spans="1:11" x14ac:dyDescent="0.25">
      <c r="A295" s="2">
        <v>38534</v>
      </c>
      <c r="B295">
        <v>4</v>
      </c>
      <c r="C295" t="s">
        <v>134</v>
      </c>
      <c r="D295">
        <v>6</v>
      </c>
      <c r="E295" t="s">
        <v>93</v>
      </c>
      <c r="F295">
        <v>1</v>
      </c>
      <c r="G295" t="s">
        <v>57</v>
      </c>
      <c r="H295" t="s">
        <v>86</v>
      </c>
      <c r="I295" t="s">
        <v>59</v>
      </c>
      <c r="J295" t="s">
        <v>32</v>
      </c>
      <c r="K295">
        <v>3303</v>
      </c>
    </row>
    <row r="296" spans="1:11" x14ac:dyDescent="0.25">
      <c r="A296" s="2">
        <v>38534</v>
      </c>
      <c r="B296">
        <v>4</v>
      </c>
      <c r="C296" t="s">
        <v>134</v>
      </c>
      <c r="D296">
        <v>6</v>
      </c>
      <c r="E296" t="s">
        <v>93</v>
      </c>
      <c r="F296">
        <v>1</v>
      </c>
      <c r="G296" t="s">
        <v>57</v>
      </c>
      <c r="H296" t="s">
        <v>87</v>
      </c>
      <c r="I296" t="s">
        <v>88</v>
      </c>
      <c r="J296" t="s">
        <v>89</v>
      </c>
      <c r="K296">
        <v>7</v>
      </c>
    </row>
    <row r="297" spans="1:11" x14ac:dyDescent="0.25">
      <c r="A297" s="2">
        <v>38534</v>
      </c>
      <c r="B297">
        <v>4</v>
      </c>
      <c r="C297" t="s">
        <v>134</v>
      </c>
      <c r="D297">
        <v>6</v>
      </c>
      <c r="E297" t="s">
        <v>93</v>
      </c>
      <c r="F297">
        <v>1</v>
      </c>
      <c r="G297" t="s">
        <v>57</v>
      </c>
      <c r="H297" t="s">
        <v>89</v>
      </c>
      <c r="I297" t="s">
        <v>100</v>
      </c>
      <c r="J297" t="s">
        <v>89</v>
      </c>
      <c r="K297">
        <v>95</v>
      </c>
    </row>
    <row r="298" spans="1:11" x14ac:dyDescent="0.25">
      <c r="A298" s="2">
        <v>38534</v>
      </c>
      <c r="B298">
        <v>4</v>
      </c>
      <c r="C298" t="s">
        <v>134</v>
      </c>
      <c r="D298">
        <v>6</v>
      </c>
      <c r="E298" t="s">
        <v>93</v>
      </c>
      <c r="F298">
        <v>1</v>
      </c>
      <c r="G298" t="s">
        <v>57</v>
      </c>
      <c r="H298" t="s">
        <v>101</v>
      </c>
      <c r="I298" t="s">
        <v>88</v>
      </c>
      <c r="J298" t="s">
        <v>89</v>
      </c>
      <c r="K298">
        <v>63000</v>
      </c>
    </row>
    <row r="299" spans="1:11" x14ac:dyDescent="0.25">
      <c r="A299" s="2">
        <v>38534</v>
      </c>
      <c r="B299">
        <v>4</v>
      </c>
      <c r="C299" t="s">
        <v>134</v>
      </c>
      <c r="D299">
        <v>6</v>
      </c>
      <c r="E299" t="s">
        <v>93</v>
      </c>
      <c r="F299">
        <v>2</v>
      </c>
      <c r="G299" t="s">
        <v>60</v>
      </c>
      <c r="H299" t="s">
        <v>102</v>
      </c>
      <c r="I299" t="s">
        <v>82</v>
      </c>
      <c r="J299" t="s">
        <v>32</v>
      </c>
      <c r="K299">
        <v>123900</v>
      </c>
    </row>
    <row r="300" spans="1:11" x14ac:dyDescent="0.25">
      <c r="A300" s="2">
        <v>38534</v>
      </c>
      <c r="B300">
        <v>4</v>
      </c>
      <c r="C300" t="s">
        <v>134</v>
      </c>
      <c r="D300">
        <v>6</v>
      </c>
      <c r="E300" t="s">
        <v>93</v>
      </c>
      <c r="F300">
        <v>1</v>
      </c>
      <c r="G300" t="s">
        <v>57</v>
      </c>
      <c r="H300" t="s">
        <v>102</v>
      </c>
      <c r="I300" t="s">
        <v>82</v>
      </c>
      <c r="J300" t="s">
        <v>32</v>
      </c>
      <c r="K300">
        <v>112648</v>
      </c>
    </row>
    <row r="301" spans="1:11" x14ac:dyDescent="0.25">
      <c r="A301" s="2">
        <v>38534</v>
      </c>
      <c r="B301">
        <v>4</v>
      </c>
      <c r="C301" t="s">
        <v>134</v>
      </c>
      <c r="D301">
        <v>7</v>
      </c>
      <c r="E301" t="s">
        <v>103</v>
      </c>
      <c r="F301">
        <v>1</v>
      </c>
      <c r="G301" t="s">
        <v>57</v>
      </c>
      <c r="H301" t="s">
        <v>104</v>
      </c>
      <c r="I301" t="s">
        <v>92</v>
      </c>
      <c r="J301" t="s">
        <v>32</v>
      </c>
      <c r="K301">
        <v>138120</v>
      </c>
    </row>
    <row r="302" spans="1:11" x14ac:dyDescent="0.25">
      <c r="A302" s="2">
        <v>38534</v>
      </c>
      <c r="B302">
        <v>4</v>
      </c>
      <c r="C302" t="s">
        <v>134</v>
      </c>
      <c r="D302">
        <v>7</v>
      </c>
      <c r="E302" t="s">
        <v>103</v>
      </c>
      <c r="F302">
        <v>1</v>
      </c>
      <c r="G302" t="s">
        <v>57</v>
      </c>
      <c r="H302" t="s">
        <v>105</v>
      </c>
      <c r="I302" t="s">
        <v>92</v>
      </c>
      <c r="J302" t="s">
        <v>32</v>
      </c>
      <c r="K302">
        <v>172658</v>
      </c>
    </row>
    <row r="303" spans="1:11" x14ac:dyDescent="0.25">
      <c r="A303" s="2">
        <v>38534</v>
      </c>
      <c r="B303">
        <v>4</v>
      </c>
      <c r="C303" t="s">
        <v>134</v>
      </c>
      <c r="D303">
        <v>7</v>
      </c>
      <c r="E303" t="s">
        <v>103</v>
      </c>
      <c r="F303">
        <v>1</v>
      </c>
      <c r="G303" t="s">
        <v>57</v>
      </c>
      <c r="H303" t="s">
        <v>106</v>
      </c>
      <c r="I303" t="s">
        <v>92</v>
      </c>
      <c r="J303" t="s">
        <v>32</v>
      </c>
      <c r="K303">
        <v>5181</v>
      </c>
    </row>
    <row r="304" spans="1:11" x14ac:dyDescent="0.25">
      <c r="A304" s="2">
        <v>38534</v>
      </c>
      <c r="B304">
        <v>4</v>
      </c>
      <c r="C304" t="s">
        <v>134</v>
      </c>
      <c r="D304">
        <v>7</v>
      </c>
      <c r="E304" t="s">
        <v>103</v>
      </c>
      <c r="F304">
        <v>1</v>
      </c>
      <c r="G304" t="s">
        <v>57</v>
      </c>
      <c r="H304" t="s">
        <v>107</v>
      </c>
      <c r="I304" t="s">
        <v>92</v>
      </c>
      <c r="J304" t="s">
        <v>32</v>
      </c>
      <c r="K304">
        <v>3453</v>
      </c>
    </row>
    <row r="305" spans="1:11" x14ac:dyDescent="0.25">
      <c r="A305" s="2">
        <v>38534</v>
      </c>
      <c r="B305">
        <v>4</v>
      </c>
      <c r="C305" t="s">
        <v>134</v>
      </c>
      <c r="D305">
        <v>7</v>
      </c>
      <c r="E305" t="s">
        <v>103</v>
      </c>
      <c r="F305">
        <v>1</v>
      </c>
      <c r="G305" t="s">
        <v>57</v>
      </c>
      <c r="H305" t="s">
        <v>108</v>
      </c>
      <c r="I305" t="s">
        <v>92</v>
      </c>
      <c r="J305" t="s">
        <v>32</v>
      </c>
      <c r="K305">
        <v>23826</v>
      </c>
    </row>
    <row r="306" spans="1:11" x14ac:dyDescent="0.25">
      <c r="A306" s="2">
        <v>38534</v>
      </c>
      <c r="B306">
        <v>4</v>
      </c>
      <c r="C306" t="s">
        <v>134</v>
      </c>
      <c r="D306">
        <v>7</v>
      </c>
      <c r="E306" t="s">
        <v>103</v>
      </c>
      <c r="F306">
        <v>1</v>
      </c>
      <c r="G306" t="s">
        <v>57</v>
      </c>
      <c r="H306" t="s">
        <v>109</v>
      </c>
      <c r="I306" t="s">
        <v>92</v>
      </c>
      <c r="J306" t="s">
        <v>32</v>
      </c>
      <c r="K306">
        <v>16229</v>
      </c>
    </row>
    <row r="307" spans="1:11" x14ac:dyDescent="0.25">
      <c r="A307" s="2">
        <v>38534</v>
      </c>
      <c r="B307">
        <v>4</v>
      </c>
      <c r="C307" t="s">
        <v>134</v>
      </c>
      <c r="D307">
        <v>7</v>
      </c>
      <c r="E307" t="s">
        <v>103</v>
      </c>
      <c r="F307">
        <v>1</v>
      </c>
      <c r="G307" t="s">
        <v>57</v>
      </c>
      <c r="H307" t="s">
        <v>110</v>
      </c>
      <c r="I307" t="s">
        <v>92</v>
      </c>
      <c r="J307" t="s">
        <v>32</v>
      </c>
      <c r="K307">
        <v>31769</v>
      </c>
    </row>
    <row r="308" spans="1:11" x14ac:dyDescent="0.25">
      <c r="A308" s="2">
        <v>38534</v>
      </c>
      <c r="B308">
        <v>4</v>
      </c>
      <c r="C308" t="s">
        <v>134</v>
      </c>
      <c r="D308">
        <v>7</v>
      </c>
      <c r="E308" t="s">
        <v>103</v>
      </c>
      <c r="F308">
        <v>1</v>
      </c>
      <c r="G308" t="s">
        <v>57</v>
      </c>
      <c r="H308" t="s">
        <v>111</v>
      </c>
      <c r="I308" t="s">
        <v>92</v>
      </c>
      <c r="J308" t="s">
        <v>32</v>
      </c>
      <c r="K308">
        <v>10976</v>
      </c>
    </row>
    <row r="309" spans="1:11" x14ac:dyDescent="0.25">
      <c r="A309" s="2">
        <v>38534</v>
      </c>
      <c r="B309">
        <v>4</v>
      </c>
      <c r="C309" t="s">
        <v>134</v>
      </c>
      <c r="D309">
        <v>7</v>
      </c>
      <c r="E309" t="s">
        <v>103</v>
      </c>
      <c r="F309">
        <v>1</v>
      </c>
      <c r="G309" t="s">
        <v>57</v>
      </c>
      <c r="H309" t="s">
        <v>112</v>
      </c>
      <c r="I309" t="s">
        <v>92</v>
      </c>
      <c r="J309" t="s">
        <v>32</v>
      </c>
      <c r="K309">
        <v>34976</v>
      </c>
    </row>
    <row r="310" spans="1:11" x14ac:dyDescent="0.25">
      <c r="A310" s="2">
        <v>38534</v>
      </c>
      <c r="B310">
        <v>4</v>
      </c>
      <c r="C310" t="s">
        <v>134</v>
      </c>
      <c r="D310">
        <v>7</v>
      </c>
      <c r="E310" t="s">
        <v>103</v>
      </c>
      <c r="F310">
        <v>1</v>
      </c>
      <c r="G310" t="s">
        <v>57</v>
      </c>
      <c r="H310" t="s">
        <v>113</v>
      </c>
      <c r="I310" t="s">
        <v>92</v>
      </c>
      <c r="J310" t="s">
        <v>32</v>
      </c>
      <c r="K310">
        <v>10646</v>
      </c>
    </row>
    <row r="311" spans="1:11" x14ac:dyDescent="0.25">
      <c r="A311" s="2">
        <v>38534</v>
      </c>
      <c r="B311">
        <v>4</v>
      </c>
      <c r="C311" t="s">
        <v>134</v>
      </c>
      <c r="D311">
        <v>7</v>
      </c>
      <c r="E311" t="s">
        <v>103</v>
      </c>
      <c r="F311">
        <v>1</v>
      </c>
      <c r="G311" t="s">
        <v>57</v>
      </c>
      <c r="H311" t="s">
        <v>114</v>
      </c>
      <c r="I311" t="s">
        <v>92</v>
      </c>
      <c r="J311" t="s">
        <v>32</v>
      </c>
      <c r="K311">
        <v>48713</v>
      </c>
    </row>
    <row r="312" spans="1:11" x14ac:dyDescent="0.25">
      <c r="A312" s="2">
        <v>38534</v>
      </c>
      <c r="B312">
        <v>4</v>
      </c>
      <c r="C312" t="s">
        <v>134</v>
      </c>
      <c r="D312">
        <v>7</v>
      </c>
      <c r="E312" t="s">
        <v>103</v>
      </c>
      <c r="F312">
        <v>1</v>
      </c>
      <c r="G312" t="s">
        <v>57</v>
      </c>
      <c r="H312" t="s">
        <v>115</v>
      </c>
      <c r="I312" t="s">
        <v>92</v>
      </c>
      <c r="J312" t="s">
        <v>32</v>
      </c>
      <c r="K312">
        <v>9416</v>
      </c>
    </row>
    <row r="313" spans="1:11" x14ac:dyDescent="0.25">
      <c r="A313" s="2">
        <v>38534</v>
      </c>
      <c r="B313">
        <v>4</v>
      </c>
      <c r="C313" t="s">
        <v>134</v>
      </c>
      <c r="D313">
        <v>7</v>
      </c>
      <c r="E313" t="s">
        <v>103</v>
      </c>
      <c r="F313">
        <v>1</v>
      </c>
      <c r="G313" t="s">
        <v>57</v>
      </c>
      <c r="H313" t="s">
        <v>116</v>
      </c>
      <c r="I313" t="s">
        <v>92</v>
      </c>
      <c r="J313" t="s">
        <v>32</v>
      </c>
      <c r="K313">
        <v>3849</v>
      </c>
    </row>
    <row r="314" spans="1:11" x14ac:dyDescent="0.25">
      <c r="A314" s="2">
        <v>38534</v>
      </c>
      <c r="B314">
        <v>4</v>
      </c>
      <c r="C314" t="s">
        <v>134</v>
      </c>
      <c r="D314">
        <v>7</v>
      </c>
      <c r="E314" t="s">
        <v>103</v>
      </c>
      <c r="F314">
        <v>1</v>
      </c>
      <c r="G314" t="s">
        <v>57</v>
      </c>
      <c r="H314" t="s">
        <v>78</v>
      </c>
      <c r="I314" t="s">
        <v>92</v>
      </c>
      <c r="J314" t="s">
        <v>32</v>
      </c>
      <c r="K314">
        <v>20310</v>
      </c>
    </row>
    <row r="315" spans="1:11" x14ac:dyDescent="0.25">
      <c r="A315" s="2">
        <v>38534</v>
      </c>
      <c r="B315">
        <v>4</v>
      </c>
      <c r="C315" t="s">
        <v>134</v>
      </c>
      <c r="D315">
        <v>7</v>
      </c>
      <c r="E315" t="s">
        <v>103</v>
      </c>
      <c r="F315">
        <v>1</v>
      </c>
      <c r="G315" t="s">
        <v>57</v>
      </c>
      <c r="H315" t="s">
        <v>117</v>
      </c>
      <c r="I315" t="s">
        <v>118</v>
      </c>
      <c r="J315" t="s">
        <v>32</v>
      </c>
      <c r="K315">
        <v>16196</v>
      </c>
    </row>
    <row r="316" spans="1:11" x14ac:dyDescent="0.25">
      <c r="A316" s="2">
        <v>38534</v>
      </c>
      <c r="B316">
        <v>4</v>
      </c>
      <c r="C316" t="s">
        <v>134</v>
      </c>
      <c r="D316">
        <v>7</v>
      </c>
      <c r="E316" t="s">
        <v>103</v>
      </c>
      <c r="F316">
        <v>1</v>
      </c>
      <c r="G316" t="s">
        <v>57</v>
      </c>
      <c r="H316" t="s">
        <v>119</v>
      </c>
      <c r="I316" t="s">
        <v>118</v>
      </c>
      <c r="J316" t="s">
        <v>32</v>
      </c>
      <c r="K316">
        <v>149442</v>
      </c>
    </row>
    <row r="317" spans="1:11" x14ac:dyDescent="0.25">
      <c r="A317" s="2">
        <v>38534</v>
      </c>
      <c r="B317">
        <v>4</v>
      </c>
      <c r="C317" t="s">
        <v>134</v>
      </c>
      <c r="D317">
        <v>7</v>
      </c>
      <c r="E317" t="s">
        <v>103</v>
      </c>
      <c r="F317">
        <v>1</v>
      </c>
      <c r="G317" t="s">
        <v>57</v>
      </c>
      <c r="H317" t="s">
        <v>120</v>
      </c>
      <c r="I317" t="s">
        <v>118</v>
      </c>
      <c r="J317" t="s">
        <v>32</v>
      </c>
      <c r="K317">
        <v>46294</v>
      </c>
    </row>
    <row r="318" spans="1:11" x14ac:dyDescent="0.25">
      <c r="A318" s="2">
        <v>38534</v>
      </c>
      <c r="B318">
        <v>4</v>
      </c>
      <c r="C318" t="s">
        <v>134</v>
      </c>
      <c r="D318">
        <v>7</v>
      </c>
      <c r="E318" t="s">
        <v>103</v>
      </c>
      <c r="F318">
        <v>1</v>
      </c>
      <c r="G318" t="s">
        <v>57</v>
      </c>
      <c r="H318" t="s">
        <v>121</v>
      </c>
      <c r="I318" t="s">
        <v>118</v>
      </c>
      <c r="J318" t="s">
        <v>32</v>
      </c>
      <c r="K318">
        <v>25924</v>
      </c>
    </row>
    <row r="319" spans="1:11" x14ac:dyDescent="0.25">
      <c r="A319" s="2">
        <v>38534</v>
      </c>
      <c r="B319">
        <v>4</v>
      </c>
      <c r="C319" t="s">
        <v>134</v>
      </c>
      <c r="D319">
        <v>7</v>
      </c>
      <c r="E319" t="s">
        <v>103</v>
      </c>
      <c r="F319">
        <v>1</v>
      </c>
      <c r="G319" t="s">
        <v>57</v>
      </c>
      <c r="H319" t="s">
        <v>122</v>
      </c>
      <c r="I319" t="s">
        <v>118</v>
      </c>
      <c r="J319" t="s">
        <v>32</v>
      </c>
      <c r="K319">
        <v>21738</v>
      </c>
    </row>
    <row r="320" spans="1:11" x14ac:dyDescent="0.25">
      <c r="A320" s="2">
        <v>38534</v>
      </c>
      <c r="B320">
        <v>4</v>
      </c>
      <c r="C320" t="s">
        <v>134</v>
      </c>
      <c r="D320">
        <v>7</v>
      </c>
      <c r="E320" t="s">
        <v>103</v>
      </c>
      <c r="F320">
        <v>1</v>
      </c>
      <c r="G320" t="s">
        <v>57</v>
      </c>
      <c r="H320" t="s">
        <v>123</v>
      </c>
      <c r="I320" t="s">
        <v>118</v>
      </c>
      <c r="J320" t="s">
        <v>32</v>
      </c>
      <c r="K320">
        <v>12448</v>
      </c>
    </row>
    <row r="321" spans="1:11" x14ac:dyDescent="0.25">
      <c r="A321" s="2">
        <v>38534</v>
      </c>
      <c r="B321">
        <v>4</v>
      </c>
      <c r="C321" t="s">
        <v>134</v>
      </c>
      <c r="D321">
        <v>7</v>
      </c>
      <c r="E321" t="s">
        <v>103</v>
      </c>
      <c r="F321">
        <v>1</v>
      </c>
      <c r="G321" t="s">
        <v>57</v>
      </c>
      <c r="H321" t="s">
        <v>124</v>
      </c>
      <c r="I321" t="s">
        <v>118</v>
      </c>
      <c r="J321" t="s">
        <v>32</v>
      </c>
      <c r="K321">
        <v>32590</v>
      </c>
    </row>
    <row r="322" spans="1:11" x14ac:dyDescent="0.25">
      <c r="A322" s="2">
        <v>38534</v>
      </c>
      <c r="B322">
        <v>4</v>
      </c>
      <c r="C322" t="s">
        <v>134</v>
      </c>
      <c r="D322">
        <v>7</v>
      </c>
      <c r="E322" t="s">
        <v>103</v>
      </c>
      <c r="F322">
        <v>1</v>
      </c>
      <c r="G322" t="s">
        <v>57</v>
      </c>
      <c r="H322" t="s">
        <v>125</v>
      </c>
      <c r="I322" t="s">
        <v>118</v>
      </c>
      <c r="J322" t="s">
        <v>32</v>
      </c>
      <c r="K322">
        <v>25665</v>
      </c>
    </row>
    <row r="323" spans="1:11" x14ac:dyDescent="0.25">
      <c r="A323" s="2">
        <v>38534</v>
      </c>
      <c r="B323">
        <v>4</v>
      </c>
      <c r="C323" t="s">
        <v>134</v>
      </c>
      <c r="D323">
        <v>7</v>
      </c>
      <c r="E323" t="s">
        <v>103</v>
      </c>
      <c r="F323">
        <v>1</v>
      </c>
      <c r="G323" t="s">
        <v>57</v>
      </c>
      <c r="H323" t="s">
        <v>126</v>
      </c>
      <c r="I323" t="s">
        <v>118</v>
      </c>
      <c r="J323" t="s">
        <v>32</v>
      </c>
      <c r="K323">
        <v>26166</v>
      </c>
    </row>
    <row r="324" spans="1:11" x14ac:dyDescent="0.25">
      <c r="A324" s="2">
        <v>38534</v>
      </c>
      <c r="B324">
        <v>4</v>
      </c>
      <c r="C324" t="s">
        <v>134</v>
      </c>
      <c r="D324">
        <v>7</v>
      </c>
      <c r="E324" t="s">
        <v>103</v>
      </c>
      <c r="F324">
        <v>1</v>
      </c>
      <c r="G324" t="s">
        <v>57</v>
      </c>
      <c r="H324" t="s">
        <v>127</v>
      </c>
      <c r="I324" t="s">
        <v>118</v>
      </c>
      <c r="J324" t="s">
        <v>32</v>
      </c>
      <c r="K324">
        <v>45395</v>
      </c>
    </row>
    <row r="325" spans="1:11" x14ac:dyDescent="0.25">
      <c r="A325" s="2">
        <v>38534</v>
      </c>
      <c r="B325">
        <v>4</v>
      </c>
      <c r="C325" t="s">
        <v>134</v>
      </c>
      <c r="D325">
        <v>7</v>
      </c>
      <c r="E325" t="s">
        <v>103</v>
      </c>
      <c r="F325">
        <v>1</v>
      </c>
      <c r="G325" t="s">
        <v>57</v>
      </c>
      <c r="H325" t="s">
        <v>128</v>
      </c>
      <c r="I325" t="s">
        <v>118</v>
      </c>
      <c r="J325" t="s">
        <v>32</v>
      </c>
      <c r="K325">
        <v>23636</v>
      </c>
    </row>
    <row r="326" spans="1:11" x14ac:dyDescent="0.25">
      <c r="A326" s="2">
        <v>38534</v>
      </c>
      <c r="B326">
        <v>4</v>
      </c>
      <c r="C326" t="s">
        <v>134</v>
      </c>
      <c r="D326">
        <v>7</v>
      </c>
      <c r="E326" t="s">
        <v>103</v>
      </c>
      <c r="F326">
        <v>1</v>
      </c>
      <c r="G326" t="s">
        <v>57</v>
      </c>
      <c r="H326" t="s">
        <v>129</v>
      </c>
      <c r="I326" t="s">
        <v>118</v>
      </c>
      <c r="J326" t="s">
        <v>32</v>
      </c>
      <c r="K326">
        <v>350000</v>
      </c>
    </row>
    <row r="327" spans="1:11" x14ac:dyDescent="0.25">
      <c r="A327" s="2">
        <v>38534</v>
      </c>
      <c r="B327">
        <v>4</v>
      </c>
      <c r="C327" t="s">
        <v>134</v>
      </c>
      <c r="D327">
        <v>7</v>
      </c>
      <c r="E327" t="s">
        <v>103</v>
      </c>
      <c r="F327">
        <v>1</v>
      </c>
      <c r="G327" t="s">
        <v>57</v>
      </c>
      <c r="H327" t="s">
        <v>130</v>
      </c>
      <c r="I327" t="s">
        <v>118</v>
      </c>
      <c r="J327" t="s">
        <v>32</v>
      </c>
      <c r="K327">
        <v>-491124</v>
      </c>
    </row>
    <row r="328" spans="1:11" x14ac:dyDescent="0.25">
      <c r="A328" s="2">
        <v>38534</v>
      </c>
      <c r="B328">
        <v>4</v>
      </c>
      <c r="C328" t="s">
        <v>134</v>
      </c>
      <c r="D328">
        <v>7</v>
      </c>
      <c r="E328" t="s">
        <v>103</v>
      </c>
      <c r="F328">
        <v>1</v>
      </c>
      <c r="G328" t="s">
        <v>57</v>
      </c>
      <c r="H328" t="s">
        <v>131</v>
      </c>
      <c r="I328" t="s">
        <v>118</v>
      </c>
      <c r="J328" t="s">
        <v>32</v>
      </c>
      <c r="K328">
        <v>291070</v>
      </c>
    </row>
    <row r="329" spans="1:11" x14ac:dyDescent="0.25">
      <c r="A329" s="2">
        <v>38534</v>
      </c>
      <c r="B329">
        <v>4</v>
      </c>
      <c r="C329" t="s">
        <v>134</v>
      </c>
      <c r="D329">
        <v>7</v>
      </c>
      <c r="E329" t="s">
        <v>103</v>
      </c>
      <c r="F329">
        <v>1</v>
      </c>
      <c r="G329" t="s">
        <v>57</v>
      </c>
      <c r="H329" t="s">
        <v>132</v>
      </c>
      <c r="I329" t="s">
        <v>118</v>
      </c>
      <c r="J329" t="s">
        <v>32</v>
      </c>
      <c r="K329">
        <v>-27492</v>
      </c>
    </row>
    <row r="330" spans="1:11" x14ac:dyDescent="0.25">
      <c r="A330" s="2">
        <v>38534</v>
      </c>
      <c r="B330">
        <v>4</v>
      </c>
      <c r="C330" t="s">
        <v>134</v>
      </c>
      <c r="D330">
        <v>7</v>
      </c>
      <c r="E330" t="s">
        <v>103</v>
      </c>
      <c r="F330">
        <v>1</v>
      </c>
      <c r="G330" t="s">
        <v>57</v>
      </c>
      <c r="H330" t="s">
        <v>133</v>
      </c>
      <c r="I330" t="s">
        <v>118</v>
      </c>
      <c r="J330" t="s">
        <v>32</v>
      </c>
      <c r="K330">
        <v>16719</v>
      </c>
    </row>
    <row r="331" spans="1:11" x14ac:dyDescent="0.25">
      <c r="A331" s="2">
        <v>38534</v>
      </c>
      <c r="B331">
        <v>5</v>
      </c>
      <c r="C331" t="s">
        <v>135</v>
      </c>
      <c r="D331">
        <v>1</v>
      </c>
      <c r="E331" t="s">
        <v>56</v>
      </c>
      <c r="F331">
        <v>1</v>
      </c>
      <c r="G331" t="s">
        <v>57</v>
      </c>
      <c r="H331" t="s">
        <v>58</v>
      </c>
      <c r="I331" t="s">
        <v>59</v>
      </c>
      <c r="J331" t="s">
        <v>32</v>
      </c>
      <c r="K331">
        <v>33920</v>
      </c>
    </row>
    <row r="332" spans="1:11" x14ac:dyDescent="0.25">
      <c r="A332" s="2">
        <v>38534</v>
      </c>
      <c r="B332">
        <v>5</v>
      </c>
      <c r="C332" t="s">
        <v>135</v>
      </c>
      <c r="D332">
        <v>1</v>
      </c>
      <c r="E332" t="s">
        <v>56</v>
      </c>
      <c r="F332">
        <v>2</v>
      </c>
      <c r="G332" t="s">
        <v>60</v>
      </c>
      <c r="H332" t="s">
        <v>58</v>
      </c>
      <c r="I332" t="s">
        <v>59</v>
      </c>
      <c r="J332" t="s">
        <v>32</v>
      </c>
      <c r="K332">
        <v>31600</v>
      </c>
    </row>
    <row r="333" spans="1:11" x14ac:dyDescent="0.25">
      <c r="A333" s="2">
        <v>38534</v>
      </c>
      <c r="B333">
        <v>5</v>
      </c>
      <c r="C333" t="s">
        <v>135</v>
      </c>
      <c r="D333">
        <v>1</v>
      </c>
      <c r="E333" t="s">
        <v>56</v>
      </c>
      <c r="F333">
        <v>2</v>
      </c>
      <c r="G333" t="s">
        <v>60</v>
      </c>
      <c r="H333" t="s">
        <v>61</v>
      </c>
      <c r="I333" t="s">
        <v>59</v>
      </c>
      <c r="J333" t="s">
        <v>32</v>
      </c>
      <c r="K333">
        <v>2700</v>
      </c>
    </row>
    <row r="334" spans="1:11" x14ac:dyDescent="0.25">
      <c r="A334" s="2">
        <v>38534</v>
      </c>
      <c r="B334">
        <v>5</v>
      </c>
      <c r="C334" t="s">
        <v>135</v>
      </c>
      <c r="D334">
        <v>1</v>
      </c>
      <c r="E334" t="s">
        <v>56</v>
      </c>
      <c r="F334">
        <v>1</v>
      </c>
      <c r="G334" t="s">
        <v>57</v>
      </c>
      <c r="H334" t="s">
        <v>61</v>
      </c>
      <c r="I334" t="s">
        <v>59</v>
      </c>
      <c r="J334" t="s">
        <v>32</v>
      </c>
      <c r="K334">
        <v>3731</v>
      </c>
    </row>
    <row r="335" spans="1:11" x14ac:dyDescent="0.25">
      <c r="A335" s="2">
        <v>38534</v>
      </c>
      <c r="B335">
        <v>5</v>
      </c>
      <c r="C335" t="s">
        <v>135</v>
      </c>
      <c r="D335">
        <v>1</v>
      </c>
      <c r="E335" t="s">
        <v>56</v>
      </c>
      <c r="F335">
        <v>1</v>
      </c>
      <c r="G335" t="s">
        <v>57</v>
      </c>
      <c r="H335" t="s">
        <v>62</v>
      </c>
      <c r="I335" t="s">
        <v>59</v>
      </c>
      <c r="J335" t="s">
        <v>32</v>
      </c>
      <c r="K335">
        <v>2035</v>
      </c>
    </row>
    <row r="336" spans="1:11" x14ac:dyDescent="0.25">
      <c r="A336" s="2">
        <v>38534</v>
      </c>
      <c r="B336">
        <v>5</v>
      </c>
      <c r="C336" t="s">
        <v>135</v>
      </c>
      <c r="D336">
        <v>1</v>
      </c>
      <c r="E336" t="s">
        <v>56</v>
      </c>
      <c r="F336">
        <v>2</v>
      </c>
      <c r="G336" t="s">
        <v>60</v>
      </c>
      <c r="H336" t="s">
        <v>62</v>
      </c>
      <c r="I336" t="s">
        <v>59</v>
      </c>
      <c r="J336" t="s">
        <v>32</v>
      </c>
      <c r="K336">
        <v>1900</v>
      </c>
    </row>
    <row r="337" spans="1:11" x14ac:dyDescent="0.25">
      <c r="A337" s="2">
        <v>38534</v>
      </c>
      <c r="B337">
        <v>5</v>
      </c>
      <c r="C337" t="s">
        <v>135</v>
      </c>
      <c r="D337">
        <v>1</v>
      </c>
      <c r="E337" t="s">
        <v>56</v>
      </c>
      <c r="F337">
        <v>2</v>
      </c>
      <c r="G337" t="s">
        <v>60</v>
      </c>
      <c r="H337" t="s">
        <v>63</v>
      </c>
      <c r="I337" t="s">
        <v>59</v>
      </c>
      <c r="J337" t="s">
        <v>32</v>
      </c>
      <c r="K337">
        <v>480</v>
      </c>
    </row>
    <row r="338" spans="1:11" x14ac:dyDescent="0.25">
      <c r="A338" s="2">
        <v>38534</v>
      </c>
      <c r="B338">
        <v>5</v>
      </c>
      <c r="C338" t="s">
        <v>135</v>
      </c>
      <c r="D338">
        <v>1</v>
      </c>
      <c r="E338" t="s">
        <v>56</v>
      </c>
      <c r="F338">
        <v>1</v>
      </c>
      <c r="G338" t="s">
        <v>57</v>
      </c>
      <c r="H338" t="s">
        <v>63</v>
      </c>
      <c r="I338" t="s">
        <v>59</v>
      </c>
      <c r="J338" t="s">
        <v>32</v>
      </c>
      <c r="K338">
        <v>440</v>
      </c>
    </row>
    <row r="339" spans="1:11" x14ac:dyDescent="0.25">
      <c r="A339" s="2">
        <v>38534</v>
      </c>
      <c r="B339">
        <v>5</v>
      </c>
      <c r="C339" t="s">
        <v>135</v>
      </c>
      <c r="D339">
        <v>1</v>
      </c>
      <c r="E339" t="s">
        <v>56</v>
      </c>
      <c r="F339">
        <v>1</v>
      </c>
      <c r="G339" t="s">
        <v>57</v>
      </c>
      <c r="H339" t="s">
        <v>64</v>
      </c>
      <c r="I339" t="s">
        <v>59</v>
      </c>
      <c r="J339" t="s">
        <v>32</v>
      </c>
      <c r="K339">
        <v>400</v>
      </c>
    </row>
    <row r="340" spans="1:11" x14ac:dyDescent="0.25">
      <c r="A340" s="2">
        <v>38534</v>
      </c>
      <c r="B340">
        <v>5</v>
      </c>
      <c r="C340" t="s">
        <v>135</v>
      </c>
      <c r="D340">
        <v>1</v>
      </c>
      <c r="E340" t="s">
        <v>56</v>
      </c>
      <c r="F340">
        <v>2</v>
      </c>
      <c r="G340" t="s">
        <v>60</v>
      </c>
      <c r="H340" t="s">
        <v>64</v>
      </c>
      <c r="I340" t="s">
        <v>59</v>
      </c>
      <c r="J340" t="s">
        <v>32</v>
      </c>
      <c r="K340">
        <v>380</v>
      </c>
    </row>
    <row r="341" spans="1:11" x14ac:dyDescent="0.25">
      <c r="A341" s="2">
        <v>38534</v>
      </c>
      <c r="B341">
        <v>5</v>
      </c>
      <c r="C341" t="s">
        <v>135</v>
      </c>
      <c r="D341">
        <v>1</v>
      </c>
      <c r="E341" t="s">
        <v>56</v>
      </c>
      <c r="F341">
        <v>2</v>
      </c>
      <c r="G341" t="s">
        <v>60</v>
      </c>
      <c r="H341" t="s">
        <v>65</v>
      </c>
      <c r="I341" t="s">
        <v>59</v>
      </c>
      <c r="J341" t="s">
        <v>32</v>
      </c>
      <c r="K341">
        <v>200</v>
      </c>
    </row>
    <row r="342" spans="1:11" x14ac:dyDescent="0.25">
      <c r="A342" s="2">
        <v>38534</v>
      </c>
      <c r="B342">
        <v>5</v>
      </c>
      <c r="C342" t="s">
        <v>135</v>
      </c>
      <c r="D342">
        <v>1</v>
      </c>
      <c r="E342" t="s">
        <v>56</v>
      </c>
      <c r="F342">
        <v>1</v>
      </c>
      <c r="G342" t="s">
        <v>57</v>
      </c>
      <c r="H342" t="s">
        <v>65</v>
      </c>
      <c r="I342" t="s">
        <v>59</v>
      </c>
      <c r="J342" t="s">
        <v>32</v>
      </c>
      <c r="K342">
        <v>208</v>
      </c>
    </row>
    <row r="343" spans="1:11" x14ac:dyDescent="0.25">
      <c r="A343" s="2">
        <v>38534</v>
      </c>
      <c r="B343">
        <v>5</v>
      </c>
      <c r="C343" t="s">
        <v>135</v>
      </c>
      <c r="D343">
        <v>1</v>
      </c>
      <c r="E343" t="s">
        <v>56</v>
      </c>
      <c r="F343">
        <v>1</v>
      </c>
      <c r="G343" t="s">
        <v>57</v>
      </c>
      <c r="H343" t="s">
        <v>66</v>
      </c>
      <c r="I343" t="s">
        <v>59</v>
      </c>
      <c r="J343" t="s">
        <v>32</v>
      </c>
      <c r="K343">
        <v>152</v>
      </c>
    </row>
    <row r="344" spans="1:11" x14ac:dyDescent="0.25">
      <c r="A344" s="2">
        <v>38534</v>
      </c>
      <c r="B344">
        <v>5</v>
      </c>
      <c r="C344" t="s">
        <v>135</v>
      </c>
      <c r="D344">
        <v>1</v>
      </c>
      <c r="E344" t="s">
        <v>56</v>
      </c>
      <c r="F344">
        <v>2</v>
      </c>
      <c r="G344" t="s">
        <v>60</v>
      </c>
      <c r="H344" t="s">
        <v>66</v>
      </c>
      <c r="I344" t="s">
        <v>59</v>
      </c>
      <c r="J344" t="s">
        <v>32</v>
      </c>
      <c r="K344">
        <v>200</v>
      </c>
    </row>
    <row r="345" spans="1:11" x14ac:dyDescent="0.25">
      <c r="A345" s="2">
        <v>38534</v>
      </c>
      <c r="B345">
        <v>5</v>
      </c>
      <c r="C345" t="s">
        <v>135</v>
      </c>
      <c r="D345">
        <v>1</v>
      </c>
      <c r="E345" t="s">
        <v>56</v>
      </c>
      <c r="F345">
        <v>1</v>
      </c>
      <c r="G345" t="s">
        <v>57</v>
      </c>
      <c r="H345" t="s">
        <v>67</v>
      </c>
      <c r="I345" t="s">
        <v>59</v>
      </c>
      <c r="J345" t="s">
        <v>32</v>
      </c>
      <c r="K345">
        <v>44</v>
      </c>
    </row>
    <row r="346" spans="1:11" x14ac:dyDescent="0.25">
      <c r="A346" s="2">
        <v>38534</v>
      </c>
      <c r="B346">
        <v>5</v>
      </c>
      <c r="C346" t="s">
        <v>135</v>
      </c>
      <c r="D346">
        <v>1</v>
      </c>
      <c r="E346" t="s">
        <v>56</v>
      </c>
      <c r="F346">
        <v>1</v>
      </c>
      <c r="G346" t="s">
        <v>57</v>
      </c>
      <c r="H346" t="s">
        <v>68</v>
      </c>
      <c r="I346" t="s">
        <v>59</v>
      </c>
      <c r="J346" t="s">
        <v>32</v>
      </c>
      <c r="K346">
        <v>64</v>
      </c>
    </row>
    <row r="347" spans="1:11" x14ac:dyDescent="0.25">
      <c r="A347" s="2">
        <v>38534</v>
      </c>
      <c r="B347">
        <v>5</v>
      </c>
      <c r="C347" t="s">
        <v>135</v>
      </c>
      <c r="D347">
        <v>1</v>
      </c>
      <c r="E347" t="s">
        <v>56</v>
      </c>
      <c r="F347">
        <v>2</v>
      </c>
      <c r="G347" t="s">
        <v>60</v>
      </c>
      <c r="H347" t="s">
        <v>68</v>
      </c>
      <c r="I347" t="s">
        <v>59</v>
      </c>
      <c r="J347" t="s">
        <v>32</v>
      </c>
      <c r="K347">
        <v>90</v>
      </c>
    </row>
    <row r="348" spans="1:11" x14ac:dyDescent="0.25">
      <c r="A348" s="2">
        <v>38534</v>
      </c>
      <c r="B348">
        <v>5</v>
      </c>
      <c r="C348" t="s">
        <v>135</v>
      </c>
      <c r="D348">
        <v>1</v>
      </c>
      <c r="E348" t="s">
        <v>56</v>
      </c>
      <c r="F348">
        <v>2</v>
      </c>
      <c r="G348" t="s">
        <v>60</v>
      </c>
      <c r="H348" t="s">
        <v>69</v>
      </c>
      <c r="I348" t="s">
        <v>59</v>
      </c>
      <c r="J348" t="s">
        <v>32</v>
      </c>
      <c r="K348">
        <v>300</v>
      </c>
    </row>
    <row r="349" spans="1:11" x14ac:dyDescent="0.25">
      <c r="A349" s="2">
        <v>38534</v>
      </c>
      <c r="B349">
        <v>5</v>
      </c>
      <c r="C349" t="s">
        <v>135</v>
      </c>
      <c r="D349">
        <v>1</v>
      </c>
      <c r="E349" t="s">
        <v>56</v>
      </c>
      <c r="F349">
        <v>1</v>
      </c>
      <c r="G349" t="s">
        <v>57</v>
      </c>
      <c r="H349" t="s">
        <v>69</v>
      </c>
      <c r="I349" t="s">
        <v>59</v>
      </c>
      <c r="J349" t="s">
        <v>32</v>
      </c>
      <c r="K349">
        <v>301</v>
      </c>
    </row>
    <row r="350" spans="1:11" x14ac:dyDescent="0.25">
      <c r="A350" s="2">
        <v>38534</v>
      </c>
      <c r="B350">
        <v>5</v>
      </c>
      <c r="C350" t="s">
        <v>135</v>
      </c>
      <c r="D350">
        <v>1</v>
      </c>
      <c r="E350" t="s">
        <v>56</v>
      </c>
      <c r="F350">
        <v>1</v>
      </c>
      <c r="G350" t="s">
        <v>57</v>
      </c>
      <c r="H350" t="s">
        <v>70</v>
      </c>
      <c r="I350" t="s">
        <v>59</v>
      </c>
      <c r="J350" t="s">
        <v>32</v>
      </c>
      <c r="K350">
        <v>192</v>
      </c>
    </row>
    <row r="351" spans="1:11" x14ac:dyDescent="0.25">
      <c r="A351" s="2">
        <v>38534</v>
      </c>
      <c r="B351">
        <v>5</v>
      </c>
      <c r="C351" t="s">
        <v>135</v>
      </c>
      <c r="D351">
        <v>1</v>
      </c>
      <c r="E351" t="s">
        <v>56</v>
      </c>
      <c r="F351">
        <v>2</v>
      </c>
      <c r="G351" t="s">
        <v>60</v>
      </c>
      <c r="H351" t="s">
        <v>70</v>
      </c>
      <c r="I351" t="s">
        <v>59</v>
      </c>
      <c r="J351" t="s">
        <v>32</v>
      </c>
      <c r="K351">
        <v>200</v>
      </c>
    </row>
    <row r="352" spans="1:11" x14ac:dyDescent="0.25">
      <c r="A352" s="2">
        <v>38534</v>
      </c>
      <c r="B352">
        <v>5</v>
      </c>
      <c r="C352" t="s">
        <v>135</v>
      </c>
      <c r="D352">
        <v>1</v>
      </c>
      <c r="E352" t="s">
        <v>56</v>
      </c>
      <c r="F352">
        <v>2</v>
      </c>
      <c r="G352" t="s">
        <v>60</v>
      </c>
      <c r="H352" t="s">
        <v>71</v>
      </c>
      <c r="I352" t="s">
        <v>59</v>
      </c>
      <c r="J352" t="s">
        <v>32</v>
      </c>
      <c r="K352">
        <v>380</v>
      </c>
    </row>
    <row r="353" spans="1:11" x14ac:dyDescent="0.25">
      <c r="A353" s="2">
        <v>38534</v>
      </c>
      <c r="B353">
        <v>5</v>
      </c>
      <c r="C353" t="s">
        <v>135</v>
      </c>
      <c r="D353">
        <v>1</v>
      </c>
      <c r="E353" t="s">
        <v>56</v>
      </c>
      <c r="F353">
        <v>1</v>
      </c>
      <c r="G353" t="s">
        <v>57</v>
      </c>
      <c r="H353" t="s">
        <v>71</v>
      </c>
      <c r="I353" t="s">
        <v>59</v>
      </c>
      <c r="J353" t="s">
        <v>32</v>
      </c>
      <c r="K353">
        <v>384</v>
      </c>
    </row>
    <row r="354" spans="1:11" x14ac:dyDescent="0.25">
      <c r="A354" s="2">
        <v>38534</v>
      </c>
      <c r="B354">
        <v>5</v>
      </c>
      <c r="C354" t="s">
        <v>135</v>
      </c>
      <c r="D354">
        <v>1</v>
      </c>
      <c r="E354" t="s">
        <v>56</v>
      </c>
      <c r="F354">
        <v>1</v>
      </c>
      <c r="G354" t="s">
        <v>57</v>
      </c>
      <c r="H354" t="s">
        <v>72</v>
      </c>
      <c r="I354" t="s">
        <v>59</v>
      </c>
      <c r="J354" t="s">
        <v>32</v>
      </c>
      <c r="K354">
        <v>691</v>
      </c>
    </row>
    <row r="355" spans="1:11" x14ac:dyDescent="0.25">
      <c r="A355" s="2">
        <v>38534</v>
      </c>
      <c r="B355">
        <v>5</v>
      </c>
      <c r="C355" t="s">
        <v>135</v>
      </c>
      <c r="D355">
        <v>1</v>
      </c>
      <c r="E355" t="s">
        <v>56</v>
      </c>
      <c r="F355">
        <v>2</v>
      </c>
      <c r="G355" t="s">
        <v>60</v>
      </c>
      <c r="H355" t="s">
        <v>72</v>
      </c>
      <c r="I355" t="s">
        <v>59</v>
      </c>
      <c r="J355" t="s">
        <v>32</v>
      </c>
      <c r="K355">
        <v>650</v>
      </c>
    </row>
    <row r="356" spans="1:11" x14ac:dyDescent="0.25">
      <c r="A356" s="2">
        <v>38534</v>
      </c>
      <c r="B356">
        <v>5</v>
      </c>
      <c r="C356" t="s">
        <v>135</v>
      </c>
      <c r="D356">
        <v>1</v>
      </c>
      <c r="E356" t="s">
        <v>56</v>
      </c>
      <c r="F356">
        <v>2</v>
      </c>
      <c r="G356" t="s">
        <v>60</v>
      </c>
      <c r="H356" t="s">
        <v>73</v>
      </c>
      <c r="I356" t="s">
        <v>59</v>
      </c>
      <c r="J356" t="s">
        <v>32</v>
      </c>
      <c r="K356">
        <v>200</v>
      </c>
    </row>
    <row r="357" spans="1:11" x14ac:dyDescent="0.25">
      <c r="A357" s="2">
        <v>38534</v>
      </c>
      <c r="B357">
        <v>5</v>
      </c>
      <c r="C357" t="s">
        <v>135</v>
      </c>
      <c r="D357">
        <v>1</v>
      </c>
      <c r="E357" t="s">
        <v>56</v>
      </c>
      <c r="F357">
        <v>1</v>
      </c>
      <c r="G357" t="s">
        <v>57</v>
      </c>
      <c r="H357" t="s">
        <v>73</v>
      </c>
      <c r="I357" t="s">
        <v>59</v>
      </c>
      <c r="J357" t="s">
        <v>32</v>
      </c>
      <c r="K357">
        <v>210</v>
      </c>
    </row>
    <row r="358" spans="1:11" x14ac:dyDescent="0.25">
      <c r="A358" s="2">
        <v>38534</v>
      </c>
      <c r="B358">
        <v>5</v>
      </c>
      <c r="C358" t="s">
        <v>135</v>
      </c>
      <c r="D358">
        <v>1</v>
      </c>
      <c r="E358" t="s">
        <v>56</v>
      </c>
      <c r="F358">
        <v>1</v>
      </c>
      <c r="G358" t="s">
        <v>57</v>
      </c>
      <c r="H358" t="s">
        <v>74</v>
      </c>
      <c r="I358" t="s">
        <v>59</v>
      </c>
      <c r="J358" t="s">
        <v>32</v>
      </c>
      <c r="K358">
        <v>806</v>
      </c>
    </row>
    <row r="359" spans="1:11" x14ac:dyDescent="0.25">
      <c r="A359" s="2">
        <v>38534</v>
      </c>
      <c r="B359">
        <v>5</v>
      </c>
      <c r="C359" t="s">
        <v>135</v>
      </c>
      <c r="D359">
        <v>1</v>
      </c>
      <c r="E359" t="s">
        <v>56</v>
      </c>
      <c r="F359">
        <v>2</v>
      </c>
      <c r="G359" t="s">
        <v>60</v>
      </c>
      <c r="H359" t="s">
        <v>74</v>
      </c>
      <c r="I359" t="s">
        <v>59</v>
      </c>
      <c r="J359" t="s">
        <v>32</v>
      </c>
      <c r="K359">
        <v>850</v>
      </c>
    </row>
    <row r="360" spans="1:11" x14ac:dyDescent="0.25">
      <c r="A360" s="2">
        <v>38534</v>
      </c>
      <c r="B360">
        <v>5</v>
      </c>
      <c r="C360" t="s">
        <v>135</v>
      </c>
      <c r="D360">
        <v>1</v>
      </c>
      <c r="E360" t="s">
        <v>56</v>
      </c>
      <c r="F360">
        <v>2</v>
      </c>
      <c r="G360" t="s">
        <v>60</v>
      </c>
      <c r="H360" t="s">
        <v>75</v>
      </c>
      <c r="I360" t="s">
        <v>59</v>
      </c>
      <c r="J360" t="s">
        <v>32</v>
      </c>
      <c r="K360">
        <v>550</v>
      </c>
    </row>
    <row r="361" spans="1:11" x14ac:dyDescent="0.25">
      <c r="A361" s="2">
        <v>38534</v>
      </c>
      <c r="B361">
        <v>5</v>
      </c>
      <c r="C361" t="s">
        <v>135</v>
      </c>
      <c r="D361">
        <v>1</v>
      </c>
      <c r="E361" t="s">
        <v>56</v>
      </c>
      <c r="F361">
        <v>1</v>
      </c>
      <c r="G361" t="s">
        <v>57</v>
      </c>
      <c r="H361" t="s">
        <v>75</v>
      </c>
      <c r="I361" t="s">
        <v>59</v>
      </c>
      <c r="J361" t="s">
        <v>32</v>
      </c>
      <c r="K361">
        <v>499</v>
      </c>
    </row>
    <row r="362" spans="1:11" x14ac:dyDescent="0.25">
      <c r="A362" s="2">
        <v>38534</v>
      </c>
      <c r="B362">
        <v>5</v>
      </c>
      <c r="C362" t="s">
        <v>135</v>
      </c>
      <c r="D362">
        <v>1</v>
      </c>
      <c r="E362" t="s">
        <v>56</v>
      </c>
      <c r="F362">
        <v>1</v>
      </c>
      <c r="G362" t="s">
        <v>57</v>
      </c>
      <c r="H362" t="s">
        <v>76</v>
      </c>
      <c r="I362" t="s">
        <v>59</v>
      </c>
      <c r="J362" t="s">
        <v>32</v>
      </c>
      <c r="K362">
        <v>49</v>
      </c>
    </row>
    <row r="363" spans="1:11" x14ac:dyDescent="0.25">
      <c r="A363" s="2">
        <v>38534</v>
      </c>
      <c r="B363">
        <v>5</v>
      </c>
      <c r="C363" t="s">
        <v>135</v>
      </c>
      <c r="D363">
        <v>1</v>
      </c>
      <c r="E363" t="s">
        <v>56</v>
      </c>
      <c r="F363">
        <v>2</v>
      </c>
      <c r="G363" t="s">
        <v>60</v>
      </c>
      <c r="H363" t="s">
        <v>76</v>
      </c>
      <c r="I363" t="s">
        <v>59</v>
      </c>
      <c r="J363" t="s">
        <v>32</v>
      </c>
      <c r="K363">
        <v>60</v>
      </c>
    </row>
    <row r="364" spans="1:11" x14ac:dyDescent="0.25">
      <c r="A364" s="2">
        <v>38534</v>
      </c>
      <c r="B364">
        <v>5</v>
      </c>
      <c r="C364" t="s">
        <v>135</v>
      </c>
      <c r="D364">
        <v>1</v>
      </c>
      <c r="E364" t="s">
        <v>56</v>
      </c>
      <c r="F364">
        <v>2</v>
      </c>
      <c r="G364" t="s">
        <v>60</v>
      </c>
      <c r="H364" t="s">
        <v>77</v>
      </c>
      <c r="I364" t="s">
        <v>59</v>
      </c>
      <c r="J364" t="s">
        <v>32</v>
      </c>
      <c r="K364">
        <v>200</v>
      </c>
    </row>
    <row r="365" spans="1:11" x14ac:dyDescent="0.25">
      <c r="A365" s="2">
        <v>38534</v>
      </c>
      <c r="B365">
        <v>5</v>
      </c>
      <c r="C365" t="s">
        <v>135</v>
      </c>
      <c r="D365">
        <v>1</v>
      </c>
      <c r="E365" t="s">
        <v>56</v>
      </c>
      <c r="F365">
        <v>1</v>
      </c>
      <c r="G365" t="s">
        <v>57</v>
      </c>
      <c r="H365" t="s">
        <v>77</v>
      </c>
      <c r="I365" t="s">
        <v>59</v>
      </c>
      <c r="J365" t="s">
        <v>32</v>
      </c>
      <c r="K365">
        <v>172</v>
      </c>
    </row>
    <row r="366" spans="1:11" x14ac:dyDescent="0.25">
      <c r="A366" s="2">
        <v>38534</v>
      </c>
      <c r="B366">
        <v>5</v>
      </c>
      <c r="C366" t="s">
        <v>135</v>
      </c>
      <c r="D366">
        <v>1</v>
      </c>
      <c r="E366" t="s">
        <v>56</v>
      </c>
      <c r="F366">
        <v>1</v>
      </c>
      <c r="G366" t="s">
        <v>57</v>
      </c>
      <c r="H366" t="s">
        <v>78</v>
      </c>
      <c r="I366" t="s">
        <v>59</v>
      </c>
      <c r="J366" t="s">
        <v>32</v>
      </c>
      <c r="K366">
        <v>147</v>
      </c>
    </row>
    <row r="367" spans="1:11" x14ac:dyDescent="0.25">
      <c r="A367" s="2">
        <v>38534</v>
      </c>
      <c r="B367">
        <v>5</v>
      </c>
      <c r="C367" t="s">
        <v>135</v>
      </c>
      <c r="D367">
        <v>1</v>
      </c>
      <c r="E367" t="s">
        <v>56</v>
      </c>
      <c r="F367">
        <v>2</v>
      </c>
      <c r="G367" t="s">
        <v>60</v>
      </c>
      <c r="H367" t="s">
        <v>78</v>
      </c>
      <c r="I367" t="s">
        <v>59</v>
      </c>
      <c r="J367" t="s">
        <v>32</v>
      </c>
      <c r="K367">
        <v>200</v>
      </c>
    </row>
    <row r="368" spans="1:11" x14ac:dyDescent="0.25">
      <c r="A368" s="2">
        <v>38534</v>
      </c>
      <c r="B368">
        <v>5</v>
      </c>
      <c r="C368" t="s">
        <v>135</v>
      </c>
      <c r="D368">
        <v>1</v>
      </c>
      <c r="E368" t="s">
        <v>56</v>
      </c>
      <c r="F368">
        <v>2</v>
      </c>
      <c r="G368" t="s">
        <v>60</v>
      </c>
      <c r="H368" t="s">
        <v>79</v>
      </c>
      <c r="I368" t="s">
        <v>59</v>
      </c>
      <c r="J368" t="s">
        <v>32</v>
      </c>
      <c r="K368">
        <v>200</v>
      </c>
    </row>
    <row r="369" spans="1:11" x14ac:dyDescent="0.25">
      <c r="A369" s="2">
        <v>38534</v>
      </c>
      <c r="B369">
        <v>5</v>
      </c>
      <c r="C369" t="s">
        <v>135</v>
      </c>
      <c r="D369">
        <v>1</v>
      </c>
      <c r="E369" t="s">
        <v>56</v>
      </c>
      <c r="F369">
        <v>1</v>
      </c>
      <c r="G369" t="s">
        <v>57</v>
      </c>
      <c r="H369" t="s">
        <v>79</v>
      </c>
      <c r="I369" t="s">
        <v>59</v>
      </c>
      <c r="J369" t="s">
        <v>32</v>
      </c>
      <c r="K369">
        <v>138</v>
      </c>
    </row>
    <row r="370" spans="1:11" x14ac:dyDescent="0.25">
      <c r="A370" s="2">
        <v>38534</v>
      </c>
      <c r="B370">
        <v>5</v>
      </c>
      <c r="C370" t="s">
        <v>135</v>
      </c>
      <c r="D370">
        <v>1</v>
      </c>
      <c r="E370" t="s">
        <v>56</v>
      </c>
      <c r="F370">
        <v>1</v>
      </c>
      <c r="G370" t="s">
        <v>57</v>
      </c>
      <c r="H370" t="s">
        <v>80</v>
      </c>
      <c r="I370" t="s">
        <v>59</v>
      </c>
      <c r="J370" t="s">
        <v>32</v>
      </c>
      <c r="K370">
        <v>720</v>
      </c>
    </row>
    <row r="371" spans="1:11" x14ac:dyDescent="0.25">
      <c r="A371" s="2">
        <v>38534</v>
      </c>
      <c r="B371">
        <v>5</v>
      </c>
      <c r="C371" t="s">
        <v>135</v>
      </c>
      <c r="D371">
        <v>1</v>
      </c>
      <c r="E371" t="s">
        <v>56</v>
      </c>
      <c r="F371">
        <v>2</v>
      </c>
      <c r="G371" t="s">
        <v>60</v>
      </c>
      <c r="H371" t="s">
        <v>80</v>
      </c>
      <c r="I371" t="s">
        <v>59</v>
      </c>
      <c r="J371" t="s">
        <v>32</v>
      </c>
      <c r="K371">
        <v>750</v>
      </c>
    </row>
    <row r="372" spans="1:11" x14ac:dyDescent="0.25">
      <c r="A372" s="2">
        <v>38534</v>
      </c>
      <c r="B372">
        <v>5</v>
      </c>
      <c r="C372" t="s">
        <v>135</v>
      </c>
      <c r="D372">
        <v>1</v>
      </c>
      <c r="E372" t="s">
        <v>56</v>
      </c>
      <c r="F372">
        <v>1</v>
      </c>
      <c r="G372" t="s">
        <v>57</v>
      </c>
      <c r="H372" t="s">
        <v>81</v>
      </c>
      <c r="I372" t="s">
        <v>82</v>
      </c>
      <c r="J372" t="s">
        <v>32</v>
      </c>
      <c r="K372">
        <v>144</v>
      </c>
    </row>
    <row r="373" spans="1:11" x14ac:dyDescent="0.25">
      <c r="A373" s="2">
        <v>38534</v>
      </c>
      <c r="B373">
        <v>5</v>
      </c>
      <c r="C373" t="s">
        <v>135</v>
      </c>
      <c r="D373">
        <v>1</v>
      </c>
      <c r="E373" t="s">
        <v>56</v>
      </c>
      <c r="F373">
        <v>1</v>
      </c>
      <c r="G373" t="s">
        <v>57</v>
      </c>
      <c r="H373" t="s">
        <v>83</v>
      </c>
      <c r="I373" t="s">
        <v>59</v>
      </c>
      <c r="J373" t="s">
        <v>32</v>
      </c>
      <c r="K373">
        <v>220</v>
      </c>
    </row>
    <row r="374" spans="1:11" x14ac:dyDescent="0.25">
      <c r="A374" s="2">
        <v>38534</v>
      </c>
      <c r="B374">
        <v>5</v>
      </c>
      <c r="C374" t="s">
        <v>135</v>
      </c>
      <c r="D374">
        <v>1</v>
      </c>
      <c r="E374" t="s">
        <v>56</v>
      </c>
      <c r="F374">
        <v>1</v>
      </c>
      <c r="G374" t="s">
        <v>57</v>
      </c>
      <c r="H374" t="s">
        <v>84</v>
      </c>
      <c r="I374" t="s">
        <v>82</v>
      </c>
      <c r="J374" t="s">
        <v>32</v>
      </c>
      <c r="K374">
        <v>-176</v>
      </c>
    </row>
    <row r="375" spans="1:11" x14ac:dyDescent="0.25">
      <c r="A375" s="2">
        <v>38534</v>
      </c>
      <c r="B375">
        <v>5</v>
      </c>
      <c r="C375" t="s">
        <v>135</v>
      </c>
      <c r="D375">
        <v>1</v>
      </c>
      <c r="E375" t="s">
        <v>56</v>
      </c>
      <c r="F375">
        <v>1</v>
      </c>
      <c r="G375" t="s">
        <v>57</v>
      </c>
      <c r="H375" t="s">
        <v>85</v>
      </c>
      <c r="I375" t="s">
        <v>82</v>
      </c>
      <c r="J375" t="s">
        <v>32</v>
      </c>
      <c r="K375">
        <v>294</v>
      </c>
    </row>
    <row r="376" spans="1:11" x14ac:dyDescent="0.25">
      <c r="A376" s="2">
        <v>38534</v>
      </c>
      <c r="B376">
        <v>5</v>
      </c>
      <c r="C376" t="s">
        <v>135</v>
      </c>
      <c r="D376">
        <v>1</v>
      </c>
      <c r="E376" t="s">
        <v>56</v>
      </c>
      <c r="F376">
        <v>1</v>
      </c>
      <c r="G376" t="s">
        <v>57</v>
      </c>
      <c r="H376" t="s">
        <v>86</v>
      </c>
      <c r="I376" t="s">
        <v>59</v>
      </c>
      <c r="J376" t="s">
        <v>32</v>
      </c>
      <c r="K376">
        <v>219</v>
      </c>
    </row>
    <row r="377" spans="1:11" x14ac:dyDescent="0.25">
      <c r="A377" s="2">
        <v>38534</v>
      </c>
      <c r="B377">
        <v>5</v>
      </c>
      <c r="C377" t="s">
        <v>135</v>
      </c>
      <c r="D377">
        <v>1</v>
      </c>
      <c r="E377" t="s">
        <v>56</v>
      </c>
      <c r="F377">
        <v>1</v>
      </c>
      <c r="G377" t="s">
        <v>57</v>
      </c>
      <c r="H377" t="s">
        <v>87</v>
      </c>
      <c r="I377" t="s">
        <v>88</v>
      </c>
      <c r="J377" t="s">
        <v>89</v>
      </c>
      <c r="K377">
        <v>8</v>
      </c>
    </row>
    <row r="378" spans="1:11" x14ac:dyDescent="0.25">
      <c r="A378" s="2">
        <v>38534</v>
      </c>
      <c r="B378">
        <v>5</v>
      </c>
      <c r="C378" t="s">
        <v>135</v>
      </c>
      <c r="D378">
        <v>2</v>
      </c>
      <c r="E378" t="s">
        <v>90</v>
      </c>
      <c r="F378">
        <v>1</v>
      </c>
      <c r="G378" t="s">
        <v>57</v>
      </c>
      <c r="H378" t="s">
        <v>91</v>
      </c>
      <c r="I378" t="s">
        <v>92</v>
      </c>
      <c r="J378" t="s">
        <v>32</v>
      </c>
      <c r="K378">
        <v>17392</v>
      </c>
    </row>
    <row r="379" spans="1:11" x14ac:dyDescent="0.25">
      <c r="A379" s="2">
        <v>38534</v>
      </c>
      <c r="B379">
        <v>5</v>
      </c>
      <c r="C379" t="s">
        <v>135</v>
      </c>
      <c r="D379">
        <v>6</v>
      </c>
      <c r="E379" t="s">
        <v>93</v>
      </c>
      <c r="F379">
        <v>1</v>
      </c>
      <c r="G379" t="s">
        <v>57</v>
      </c>
      <c r="H379" t="s">
        <v>94</v>
      </c>
      <c r="I379" t="s">
        <v>82</v>
      </c>
      <c r="J379" t="s">
        <v>32</v>
      </c>
      <c r="K379">
        <v>1683</v>
      </c>
    </row>
    <row r="380" spans="1:11" x14ac:dyDescent="0.25">
      <c r="A380" s="2">
        <v>38534</v>
      </c>
      <c r="B380">
        <v>5</v>
      </c>
      <c r="C380" t="s">
        <v>135</v>
      </c>
      <c r="D380">
        <v>6</v>
      </c>
      <c r="E380" t="s">
        <v>93</v>
      </c>
      <c r="F380">
        <v>2</v>
      </c>
      <c r="G380" t="s">
        <v>60</v>
      </c>
      <c r="H380" t="s">
        <v>94</v>
      </c>
      <c r="I380" t="s">
        <v>82</v>
      </c>
      <c r="J380" t="s">
        <v>32</v>
      </c>
      <c r="K380">
        <v>2200</v>
      </c>
    </row>
    <row r="381" spans="1:11" x14ac:dyDescent="0.25">
      <c r="A381" s="2">
        <v>38534</v>
      </c>
      <c r="B381">
        <v>5</v>
      </c>
      <c r="C381" t="s">
        <v>135</v>
      </c>
      <c r="D381">
        <v>6</v>
      </c>
      <c r="E381" t="s">
        <v>93</v>
      </c>
      <c r="F381">
        <v>2</v>
      </c>
      <c r="G381" t="s">
        <v>60</v>
      </c>
      <c r="H381" t="s">
        <v>95</v>
      </c>
      <c r="I381" t="s">
        <v>59</v>
      </c>
      <c r="J381" t="s">
        <v>32</v>
      </c>
      <c r="K381">
        <v>-250</v>
      </c>
    </row>
    <row r="382" spans="1:11" x14ac:dyDescent="0.25">
      <c r="A382" s="2">
        <v>38534</v>
      </c>
      <c r="B382">
        <v>5</v>
      </c>
      <c r="C382" t="s">
        <v>135</v>
      </c>
      <c r="D382">
        <v>6</v>
      </c>
      <c r="E382" t="s">
        <v>93</v>
      </c>
      <c r="F382">
        <v>1</v>
      </c>
      <c r="G382" t="s">
        <v>57</v>
      </c>
      <c r="H382" t="s">
        <v>95</v>
      </c>
      <c r="I382" t="s">
        <v>59</v>
      </c>
      <c r="J382" t="s">
        <v>32</v>
      </c>
      <c r="K382">
        <v>-561</v>
      </c>
    </row>
    <row r="383" spans="1:11" x14ac:dyDescent="0.25">
      <c r="A383" s="2">
        <v>38534</v>
      </c>
      <c r="B383">
        <v>5</v>
      </c>
      <c r="C383" t="s">
        <v>135</v>
      </c>
      <c r="D383">
        <v>6</v>
      </c>
      <c r="E383" t="s">
        <v>93</v>
      </c>
      <c r="F383">
        <v>1</v>
      </c>
      <c r="G383" t="s">
        <v>57</v>
      </c>
      <c r="H383" t="s">
        <v>96</v>
      </c>
      <c r="I383" t="s">
        <v>59</v>
      </c>
      <c r="J383" t="s">
        <v>32</v>
      </c>
      <c r="K383">
        <v>21575</v>
      </c>
    </row>
    <row r="384" spans="1:11" x14ac:dyDescent="0.25">
      <c r="A384" s="2">
        <v>38534</v>
      </c>
      <c r="B384">
        <v>5</v>
      </c>
      <c r="C384" t="s">
        <v>135</v>
      </c>
      <c r="D384">
        <v>6</v>
      </c>
      <c r="E384" t="s">
        <v>93</v>
      </c>
      <c r="F384">
        <v>2</v>
      </c>
      <c r="G384" t="s">
        <v>60</v>
      </c>
      <c r="H384" t="s">
        <v>96</v>
      </c>
      <c r="I384" t="s">
        <v>59</v>
      </c>
      <c r="J384" t="s">
        <v>32</v>
      </c>
      <c r="K384">
        <v>22700</v>
      </c>
    </row>
    <row r="385" spans="1:11" x14ac:dyDescent="0.25">
      <c r="A385" s="2">
        <v>38534</v>
      </c>
      <c r="B385">
        <v>5</v>
      </c>
      <c r="C385" t="s">
        <v>135</v>
      </c>
      <c r="D385">
        <v>6</v>
      </c>
      <c r="E385" t="s">
        <v>93</v>
      </c>
      <c r="F385">
        <v>2</v>
      </c>
      <c r="G385" t="s">
        <v>60</v>
      </c>
      <c r="H385" t="s">
        <v>97</v>
      </c>
      <c r="I385" t="s">
        <v>59</v>
      </c>
      <c r="J385" t="s">
        <v>32</v>
      </c>
      <c r="K385">
        <v>500</v>
      </c>
    </row>
    <row r="386" spans="1:11" x14ac:dyDescent="0.25">
      <c r="A386" s="2">
        <v>38534</v>
      </c>
      <c r="B386">
        <v>5</v>
      </c>
      <c r="C386" t="s">
        <v>135</v>
      </c>
      <c r="D386">
        <v>6</v>
      </c>
      <c r="E386" t="s">
        <v>93</v>
      </c>
      <c r="F386">
        <v>1</v>
      </c>
      <c r="G386" t="s">
        <v>57</v>
      </c>
      <c r="H386" t="s">
        <v>97</v>
      </c>
      <c r="I386" t="s">
        <v>59</v>
      </c>
      <c r="J386" t="s">
        <v>32</v>
      </c>
      <c r="K386">
        <v>467</v>
      </c>
    </row>
    <row r="387" spans="1:11" x14ac:dyDescent="0.25">
      <c r="A387" s="2">
        <v>38534</v>
      </c>
      <c r="B387">
        <v>5</v>
      </c>
      <c r="C387" t="s">
        <v>135</v>
      </c>
      <c r="D387">
        <v>6</v>
      </c>
      <c r="E387" t="s">
        <v>93</v>
      </c>
      <c r="F387">
        <v>1</v>
      </c>
      <c r="G387" t="s">
        <v>57</v>
      </c>
      <c r="H387" t="s">
        <v>58</v>
      </c>
      <c r="I387" t="s">
        <v>59</v>
      </c>
      <c r="J387" t="s">
        <v>32</v>
      </c>
      <c r="K387">
        <v>25480</v>
      </c>
    </row>
    <row r="388" spans="1:11" x14ac:dyDescent="0.25">
      <c r="A388" s="2">
        <v>38534</v>
      </c>
      <c r="B388">
        <v>5</v>
      </c>
      <c r="C388" t="s">
        <v>135</v>
      </c>
      <c r="D388">
        <v>6</v>
      </c>
      <c r="E388" t="s">
        <v>93</v>
      </c>
      <c r="F388">
        <v>2</v>
      </c>
      <c r="G388" t="s">
        <v>60</v>
      </c>
      <c r="H388" t="s">
        <v>58</v>
      </c>
      <c r="I388" t="s">
        <v>59</v>
      </c>
      <c r="J388" t="s">
        <v>32</v>
      </c>
      <c r="K388">
        <v>26400</v>
      </c>
    </row>
    <row r="389" spans="1:11" x14ac:dyDescent="0.25">
      <c r="A389" s="2">
        <v>38534</v>
      </c>
      <c r="B389">
        <v>5</v>
      </c>
      <c r="C389" t="s">
        <v>135</v>
      </c>
      <c r="D389">
        <v>6</v>
      </c>
      <c r="E389" t="s">
        <v>93</v>
      </c>
      <c r="F389">
        <v>2</v>
      </c>
      <c r="G389" t="s">
        <v>60</v>
      </c>
      <c r="H389" t="s">
        <v>61</v>
      </c>
      <c r="I389" t="s">
        <v>59</v>
      </c>
      <c r="J389" t="s">
        <v>32</v>
      </c>
      <c r="K389">
        <v>2600</v>
      </c>
    </row>
    <row r="390" spans="1:11" x14ac:dyDescent="0.25">
      <c r="A390" s="2">
        <v>38534</v>
      </c>
      <c r="B390">
        <v>5</v>
      </c>
      <c r="C390" t="s">
        <v>135</v>
      </c>
      <c r="D390">
        <v>6</v>
      </c>
      <c r="E390" t="s">
        <v>93</v>
      </c>
      <c r="F390">
        <v>1</v>
      </c>
      <c r="G390" t="s">
        <v>57</v>
      </c>
      <c r="H390" t="s">
        <v>61</v>
      </c>
      <c r="I390" t="s">
        <v>59</v>
      </c>
      <c r="J390" t="s">
        <v>32</v>
      </c>
      <c r="K390">
        <v>2038</v>
      </c>
    </row>
    <row r="391" spans="1:11" x14ac:dyDescent="0.25">
      <c r="A391" s="2">
        <v>38534</v>
      </c>
      <c r="B391">
        <v>5</v>
      </c>
      <c r="C391" t="s">
        <v>135</v>
      </c>
      <c r="D391">
        <v>6</v>
      </c>
      <c r="E391" t="s">
        <v>93</v>
      </c>
      <c r="F391">
        <v>1</v>
      </c>
      <c r="G391" t="s">
        <v>57</v>
      </c>
      <c r="H391" t="s">
        <v>62</v>
      </c>
      <c r="I391" t="s">
        <v>59</v>
      </c>
      <c r="J391" t="s">
        <v>32</v>
      </c>
      <c r="K391">
        <v>2293</v>
      </c>
    </row>
    <row r="392" spans="1:11" x14ac:dyDescent="0.25">
      <c r="A392" s="2">
        <v>38534</v>
      </c>
      <c r="B392">
        <v>5</v>
      </c>
      <c r="C392" t="s">
        <v>135</v>
      </c>
      <c r="D392">
        <v>6</v>
      </c>
      <c r="E392" t="s">
        <v>93</v>
      </c>
      <c r="F392">
        <v>2</v>
      </c>
      <c r="G392" t="s">
        <v>60</v>
      </c>
      <c r="H392" t="s">
        <v>62</v>
      </c>
      <c r="I392" t="s">
        <v>59</v>
      </c>
      <c r="J392" t="s">
        <v>32</v>
      </c>
      <c r="K392">
        <v>1800</v>
      </c>
    </row>
    <row r="393" spans="1:11" x14ac:dyDescent="0.25">
      <c r="A393" s="2">
        <v>38534</v>
      </c>
      <c r="B393">
        <v>5</v>
      </c>
      <c r="C393" t="s">
        <v>135</v>
      </c>
      <c r="D393">
        <v>6</v>
      </c>
      <c r="E393" t="s">
        <v>93</v>
      </c>
      <c r="F393">
        <v>2</v>
      </c>
      <c r="G393" t="s">
        <v>60</v>
      </c>
      <c r="H393" t="s">
        <v>98</v>
      </c>
      <c r="I393" t="s">
        <v>59</v>
      </c>
      <c r="J393" t="s">
        <v>32</v>
      </c>
      <c r="K393">
        <v>8700</v>
      </c>
    </row>
    <row r="394" spans="1:11" x14ac:dyDescent="0.25">
      <c r="A394" s="2">
        <v>38534</v>
      </c>
      <c r="B394">
        <v>5</v>
      </c>
      <c r="C394" t="s">
        <v>135</v>
      </c>
      <c r="D394">
        <v>6</v>
      </c>
      <c r="E394" t="s">
        <v>93</v>
      </c>
      <c r="F394">
        <v>1</v>
      </c>
      <c r="G394" t="s">
        <v>57</v>
      </c>
      <c r="H394" t="s">
        <v>98</v>
      </c>
      <c r="I394" t="s">
        <v>59</v>
      </c>
      <c r="J394" t="s">
        <v>32</v>
      </c>
      <c r="K394">
        <v>2244</v>
      </c>
    </row>
    <row r="395" spans="1:11" x14ac:dyDescent="0.25">
      <c r="A395" s="2">
        <v>38534</v>
      </c>
      <c r="B395">
        <v>5</v>
      </c>
      <c r="C395" t="s">
        <v>135</v>
      </c>
      <c r="D395">
        <v>6</v>
      </c>
      <c r="E395" t="s">
        <v>93</v>
      </c>
      <c r="F395">
        <v>1</v>
      </c>
      <c r="G395" t="s">
        <v>57</v>
      </c>
      <c r="H395" t="s">
        <v>63</v>
      </c>
      <c r="I395" t="s">
        <v>59</v>
      </c>
      <c r="J395" t="s">
        <v>32</v>
      </c>
      <c r="K395">
        <v>553</v>
      </c>
    </row>
    <row r="396" spans="1:11" x14ac:dyDescent="0.25">
      <c r="A396" s="2">
        <v>38534</v>
      </c>
      <c r="B396">
        <v>5</v>
      </c>
      <c r="C396" t="s">
        <v>135</v>
      </c>
      <c r="D396">
        <v>6</v>
      </c>
      <c r="E396" t="s">
        <v>93</v>
      </c>
      <c r="F396">
        <v>2</v>
      </c>
      <c r="G396" t="s">
        <v>60</v>
      </c>
      <c r="H396" t="s">
        <v>63</v>
      </c>
      <c r="I396" t="s">
        <v>59</v>
      </c>
      <c r="J396" t="s">
        <v>32</v>
      </c>
      <c r="K396">
        <v>380</v>
      </c>
    </row>
    <row r="397" spans="1:11" x14ac:dyDescent="0.25">
      <c r="A397" s="2">
        <v>38534</v>
      </c>
      <c r="B397">
        <v>5</v>
      </c>
      <c r="C397" t="s">
        <v>135</v>
      </c>
      <c r="D397">
        <v>6</v>
      </c>
      <c r="E397" t="s">
        <v>93</v>
      </c>
      <c r="F397">
        <v>2</v>
      </c>
      <c r="G397" t="s">
        <v>60</v>
      </c>
      <c r="H397" t="s">
        <v>64</v>
      </c>
      <c r="I397" t="s">
        <v>59</v>
      </c>
      <c r="J397" t="s">
        <v>32</v>
      </c>
      <c r="K397">
        <v>380</v>
      </c>
    </row>
    <row r="398" spans="1:11" x14ac:dyDescent="0.25">
      <c r="A398" s="2">
        <v>38534</v>
      </c>
      <c r="B398">
        <v>5</v>
      </c>
      <c r="C398" t="s">
        <v>135</v>
      </c>
      <c r="D398">
        <v>6</v>
      </c>
      <c r="E398" t="s">
        <v>93</v>
      </c>
      <c r="F398">
        <v>1</v>
      </c>
      <c r="G398" t="s">
        <v>57</v>
      </c>
      <c r="H398" t="s">
        <v>64</v>
      </c>
      <c r="I398" t="s">
        <v>59</v>
      </c>
      <c r="J398" t="s">
        <v>32</v>
      </c>
      <c r="K398">
        <v>503</v>
      </c>
    </row>
    <row r="399" spans="1:11" x14ac:dyDescent="0.25">
      <c r="A399" s="2">
        <v>38534</v>
      </c>
      <c r="B399">
        <v>5</v>
      </c>
      <c r="C399" t="s">
        <v>135</v>
      </c>
      <c r="D399">
        <v>6</v>
      </c>
      <c r="E399" t="s">
        <v>93</v>
      </c>
      <c r="F399">
        <v>1</v>
      </c>
      <c r="G399" t="s">
        <v>57</v>
      </c>
      <c r="H399" t="s">
        <v>65</v>
      </c>
      <c r="I399" t="s">
        <v>59</v>
      </c>
      <c r="J399" t="s">
        <v>32</v>
      </c>
      <c r="K399">
        <v>252</v>
      </c>
    </row>
    <row r="400" spans="1:11" x14ac:dyDescent="0.25">
      <c r="A400" s="2">
        <v>38534</v>
      </c>
      <c r="B400">
        <v>5</v>
      </c>
      <c r="C400" t="s">
        <v>135</v>
      </c>
      <c r="D400">
        <v>6</v>
      </c>
      <c r="E400" t="s">
        <v>93</v>
      </c>
      <c r="F400">
        <v>2</v>
      </c>
      <c r="G400" t="s">
        <v>60</v>
      </c>
      <c r="H400" t="s">
        <v>65</v>
      </c>
      <c r="I400" t="s">
        <v>59</v>
      </c>
      <c r="J400" t="s">
        <v>32</v>
      </c>
      <c r="K400">
        <v>200</v>
      </c>
    </row>
    <row r="401" spans="1:11" x14ac:dyDescent="0.25">
      <c r="A401" s="2">
        <v>38534</v>
      </c>
      <c r="B401">
        <v>5</v>
      </c>
      <c r="C401" t="s">
        <v>135</v>
      </c>
      <c r="D401">
        <v>6</v>
      </c>
      <c r="E401" t="s">
        <v>93</v>
      </c>
      <c r="F401">
        <v>2</v>
      </c>
      <c r="G401" t="s">
        <v>60</v>
      </c>
      <c r="H401" t="s">
        <v>66</v>
      </c>
      <c r="I401" t="s">
        <v>59</v>
      </c>
      <c r="J401" t="s">
        <v>32</v>
      </c>
      <c r="K401">
        <v>200</v>
      </c>
    </row>
    <row r="402" spans="1:11" x14ac:dyDescent="0.25">
      <c r="A402" s="2">
        <v>38534</v>
      </c>
      <c r="B402">
        <v>5</v>
      </c>
      <c r="C402" t="s">
        <v>135</v>
      </c>
      <c r="D402">
        <v>6</v>
      </c>
      <c r="E402" t="s">
        <v>93</v>
      </c>
      <c r="F402">
        <v>1</v>
      </c>
      <c r="G402" t="s">
        <v>57</v>
      </c>
      <c r="H402" t="s">
        <v>66</v>
      </c>
      <c r="I402" t="s">
        <v>59</v>
      </c>
      <c r="J402" t="s">
        <v>32</v>
      </c>
      <c r="K402">
        <v>189</v>
      </c>
    </row>
    <row r="403" spans="1:11" x14ac:dyDescent="0.25">
      <c r="A403" s="2">
        <v>38534</v>
      </c>
      <c r="B403">
        <v>5</v>
      </c>
      <c r="C403" t="s">
        <v>135</v>
      </c>
      <c r="D403">
        <v>6</v>
      </c>
      <c r="E403" t="s">
        <v>93</v>
      </c>
      <c r="F403">
        <v>1</v>
      </c>
      <c r="G403" t="s">
        <v>57</v>
      </c>
      <c r="H403" t="s">
        <v>67</v>
      </c>
      <c r="I403" t="s">
        <v>59</v>
      </c>
      <c r="J403" t="s">
        <v>32</v>
      </c>
      <c r="K403">
        <v>55</v>
      </c>
    </row>
    <row r="404" spans="1:11" x14ac:dyDescent="0.25">
      <c r="A404" s="2">
        <v>38534</v>
      </c>
      <c r="B404">
        <v>5</v>
      </c>
      <c r="C404" t="s">
        <v>135</v>
      </c>
      <c r="D404">
        <v>6</v>
      </c>
      <c r="E404" t="s">
        <v>93</v>
      </c>
      <c r="F404">
        <v>1</v>
      </c>
      <c r="G404" t="s">
        <v>57</v>
      </c>
      <c r="H404" t="s">
        <v>68</v>
      </c>
      <c r="I404" t="s">
        <v>59</v>
      </c>
      <c r="J404" t="s">
        <v>32</v>
      </c>
      <c r="K404">
        <v>49</v>
      </c>
    </row>
    <row r="405" spans="1:11" x14ac:dyDescent="0.25">
      <c r="A405" s="2">
        <v>38534</v>
      </c>
      <c r="B405">
        <v>5</v>
      </c>
      <c r="C405" t="s">
        <v>135</v>
      </c>
      <c r="D405">
        <v>6</v>
      </c>
      <c r="E405" t="s">
        <v>93</v>
      </c>
      <c r="F405">
        <v>2</v>
      </c>
      <c r="G405" t="s">
        <v>60</v>
      </c>
      <c r="H405" t="s">
        <v>68</v>
      </c>
      <c r="I405" t="s">
        <v>59</v>
      </c>
      <c r="J405" t="s">
        <v>32</v>
      </c>
      <c r="K405">
        <v>70</v>
      </c>
    </row>
    <row r="406" spans="1:11" x14ac:dyDescent="0.25">
      <c r="A406" s="2">
        <v>38534</v>
      </c>
      <c r="B406">
        <v>5</v>
      </c>
      <c r="C406" t="s">
        <v>135</v>
      </c>
      <c r="D406">
        <v>6</v>
      </c>
      <c r="E406" t="s">
        <v>93</v>
      </c>
      <c r="F406">
        <v>2</v>
      </c>
      <c r="G406" t="s">
        <v>60</v>
      </c>
      <c r="H406" t="s">
        <v>99</v>
      </c>
      <c r="I406" t="s">
        <v>59</v>
      </c>
      <c r="J406" t="s">
        <v>32</v>
      </c>
      <c r="K406">
        <v>280</v>
      </c>
    </row>
    <row r="407" spans="1:11" x14ac:dyDescent="0.25">
      <c r="A407" s="2">
        <v>38534</v>
      </c>
      <c r="B407">
        <v>5</v>
      </c>
      <c r="C407" t="s">
        <v>135</v>
      </c>
      <c r="D407">
        <v>6</v>
      </c>
      <c r="E407" t="s">
        <v>93</v>
      </c>
      <c r="F407">
        <v>1</v>
      </c>
      <c r="G407" t="s">
        <v>57</v>
      </c>
      <c r="H407" t="s">
        <v>99</v>
      </c>
      <c r="I407" t="s">
        <v>59</v>
      </c>
      <c r="J407" t="s">
        <v>32</v>
      </c>
      <c r="K407">
        <v>168</v>
      </c>
    </row>
    <row r="408" spans="1:11" x14ac:dyDescent="0.25">
      <c r="A408" s="2">
        <v>38534</v>
      </c>
      <c r="B408">
        <v>5</v>
      </c>
      <c r="C408" t="s">
        <v>135</v>
      </c>
      <c r="D408">
        <v>6</v>
      </c>
      <c r="E408" t="s">
        <v>93</v>
      </c>
      <c r="F408">
        <v>1</v>
      </c>
      <c r="G408" t="s">
        <v>57</v>
      </c>
      <c r="H408" t="s">
        <v>69</v>
      </c>
      <c r="I408" t="s">
        <v>59</v>
      </c>
      <c r="J408" t="s">
        <v>32</v>
      </c>
      <c r="K408">
        <v>336</v>
      </c>
    </row>
    <row r="409" spans="1:11" x14ac:dyDescent="0.25">
      <c r="A409" s="2">
        <v>38534</v>
      </c>
      <c r="B409">
        <v>5</v>
      </c>
      <c r="C409" t="s">
        <v>135</v>
      </c>
      <c r="D409">
        <v>6</v>
      </c>
      <c r="E409" t="s">
        <v>93</v>
      </c>
      <c r="F409">
        <v>2</v>
      </c>
      <c r="G409" t="s">
        <v>60</v>
      </c>
      <c r="H409" t="s">
        <v>69</v>
      </c>
      <c r="I409" t="s">
        <v>59</v>
      </c>
      <c r="J409" t="s">
        <v>32</v>
      </c>
      <c r="K409">
        <v>300</v>
      </c>
    </row>
    <row r="410" spans="1:11" x14ac:dyDescent="0.25">
      <c r="A410" s="2">
        <v>38534</v>
      </c>
      <c r="B410">
        <v>5</v>
      </c>
      <c r="C410" t="s">
        <v>135</v>
      </c>
      <c r="D410">
        <v>6</v>
      </c>
      <c r="E410" t="s">
        <v>93</v>
      </c>
      <c r="F410">
        <v>2</v>
      </c>
      <c r="G410" t="s">
        <v>60</v>
      </c>
      <c r="H410" t="s">
        <v>70</v>
      </c>
      <c r="I410" t="s">
        <v>59</v>
      </c>
      <c r="J410" t="s">
        <v>32</v>
      </c>
      <c r="K410">
        <v>200</v>
      </c>
    </row>
    <row r="411" spans="1:11" x14ac:dyDescent="0.25">
      <c r="A411" s="2">
        <v>38534</v>
      </c>
      <c r="B411">
        <v>5</v>
      </c>
      <c r="C411" t="s">
        <v>135</v>
      </c>
      <c r="D411">
        <v>6</v>
      </c>
      <c r="E411" t="s">
        <v>93</v>
      </c>
      <c r="F411">
        <v>1</v>
      </c>
      <c r="G411" t="s">
        <v>57</v>
      </c>
      <c r="H411" t="s">
        <v>70</v>
      </c>
      <c r="I411" t="s">
        <v>59</v>
      </c>
      <c r="J411" t="s">
        <v>32</v>
      </c>
      <c r="K411">
        <v>248</v>
      </c>
    </row>
    <row r="412" spans="1:11" x14ac:dyDescent="0.25">
      <c r="A412" s="2">
        <v>38534</v>
      </c>
      <c r="B412">
        <v>5</v>
      </c>
      <c r="C412" t="s">
        <v>135</v>
      </c>
      <c r="D412">
        <v>6</v>
      </c>
      <c r="E412" t="s">
        <v>93</v>
      </c>
      <c r="F412">
        <v>1</v>
      </c>
      <c r="G412" t="s">
        <v>57</v>
      </c>
      <c r="H412" t="s">
        <v>71</v>
      </c>
      <c r="I412" t="s">
        <v>59</v>
      </c>
      <c r="J412" t="s">
        <v>32</v>
      </c>
      <c r="K412">
        <v>846</v>
      </c>
    </row>
    <row r="413" spans="1:11" x14ac:dyDescent="0.25">
      <c r="A413" s="2">
        <v>38534</v>
      </c>
      <c r="B413">
        <v>5</v>
      </c>
      <c r="C413" t="s">
        <v>135</v>
      </c>
      <c r="D413">
        <v>6</v>
      </c>
      <c r="E413" t="s">
        <v>93</v>
      </c>
      <c r="F413">
        <v>2</v>
      </c>
      <c r="G413" t="s">
        <v>60</v>
      </c>
      <c r="H413" t="s">
        <v>71</v>
      </c>
      <c r="I413" t="s">
        <v>59</v>
      </c>
      <c r="J413" t="s">
        <v>32</v>
      </c>
      <c r="K413">
        <v>1700</v>
      </c>
    </row>
    <row r="414" spans="1:11" x14ac:dyDescent="0.25">
      <c r="A414" s="2">
        <v>38534</v>
      </c>
      <c r="B414">
        <v>5</v>
      </c>
      <c r="C414" t="s">
        <v>135</v>
      </c>
      <c r="D414">
        <v>6</v>
      </c>
      <c r="E414" t="s">
        <v>93</v>
      </c>
      <c r="F414">
        <v>2</v>
      </c>
      <c r="G414" t="s">
        <v>60</v>
      </c>
      <c r="H414" t="s">
        <v>72</v>
      </c>
      <c r="I414" t="s">
        <v>59</v>
      </c>
      <c r="J414" t="s">
        <v>32</v>
      </c>
      <c r="K414">
        <v>550</v>
      </c>
    </row>
    <row r="415" spans="1:11" x14ac:dyDescent="0.25">
      <c r="A415" s="2">
        <v>38534</v>
      </c>
      <c r="B415">
        <v>5</v>
      </c>
      <c r="C415" t="s">
        <v>135</v>
      </c>
      <c r="D415">
        <v>6</v>
      </c>
      <c r="E415" t="s">
        <v>93</v>
      </c>
      <c r="F415">
        <v>1</v>
      </c>
      <c r="G415" t="s">
        <v>57</v>
      </c>
      <c r="H415" t="s">
        <v>72</v>
      </c>
      <c r="I415" t="s">
        <v>59</v>
      </c>
      <c r="J415" t="s">
        <v>32</v>
      </c>
      <c r="K415">
        <v>667</v>
      </c>
    </row>
    <row r="416" spans="1:11" x14ac:dyDescent="0.25">
      <c r="A416" s="2">
        <v>38534</v>
      </c>
      <c r="B416">
        <v>5</v>
      </c>
      <c r="C416" t="s">
        <v>135</v>
      </c>
      <c r="D416">
        <v>6</v>
      </c>
      <c r="E416" t="s">
        <v>93</v>
      </c>
      <c r="F416">
        <v>1</v>
      </c>
      <c r="G416" t="s">
        <v>57</v>
      </c>
      <c r="H416" t="s">
        <v>73</v>
      </c>
      <c r="I416" t="s">
        <v>59</v>
      </c>
      <c r="J416" t="s">
        <v>32</v>
      </c>
      <c r="K416">
        <v>178</v>
      </c>
    </row>
    <row r="417" spans="1:11" x14ac:dyDescent="0.25">
      <c r="A417" s="2">
        <v>38534</v>
      </c>
      <c r="B417">
        <v>5</v>
      </c>
      <c r="C417" t="s">
        <v>135</v>
      </c>
      <c r="D417">
        <v>6</v>
      </c>
      <c r="E417" t="s">
        <v>93</v>
      </c>
      <c r="F417">
        <v>2</v>
      </c>
      <c r="G417" t="s">
        <v>60</v>
      </c>
      <c r="H417" t="s">
        <v>73</v>
      </c>
      <c r="I417" t="s">
        <v>59</v>
      </c>
      <c r="J417" t="s">
        <v>32</v>
      </c>
      <c r="K417">
        <v>200</v>
      </c>
    </row>
    <row r="418" spans="1:11" x14ac:dyDescent="0.25">
      <c r="A418" s="2">
        <v>38534</v>
      </c>
      <c r="B418">
        <v>5</v>
      </c>
      <c r="C418" t="s">
        <v>135</v>
      </c>
      <c r="D418">
        <v>6</v>
      </c>
      <c r="E418" t="s">
        <v>93</v>
      </c>
      <c r="F418">
        <v>2</v>
      </c>
      <c r="G418" t="s">
        <v>60</v>
      </c>
      <c r="H418" t="s">
        <v>74</v>
      </c>
      <c r="I418" t="s">
        <v>59</v>
      </c>
      <c r="J418" t="s">
        <v>32</v>
      </c>
      <c r="K418">
        <v>650</v>
      </c>
    </row>
    <row r="419" spans="1:11" x14ac:dyDescent="0.25">
      <c r="A419" s="2">
        <v>38534</v>
      </c>
      <c r="B419">
        <v>5</v>
      </c>
      <c r="C419" t="s">
        <v>135</v>
      </c>
      <c r="D419">
        <v>6</v>
      </c>
      <c r="E419" t="s">
        <v>93</v>
      </c>
      <c r="F419">
        <v>1</v>
      </c>
      <c r="G419" t="s">
        <v>57</v>
      </c>
      <c r="H419" t="s">
        <v>74</v>
      </c>
      <c r="I419" t="s">
        <v>59</v>
      </c>
      <c r="J419" t="s">
        <v>32</v>
      </c>
      <c r="K419">
        <v>668</v>
      </c>
    </row>
    <row r="420" spans="1:11" x14ac:dyDescent="0.25">
      <c r="A420" s="2">
        <v>38534</v>
      </c>
      <c r="B420">
        <v>5</v>
      </c>
      <c r="C420" t="s">
        <v>135</v>
      </c>
      <c r="D420">
        <v>6</v>
      </c>
      <c r="E420" t="s">
        <v>93</v>
      </c>
      <c r="F420">
        <v>1</v>
      </c>
      <c r="G420" t="s">
        <v>57</v>
      </c>
      <c r="H420" t="s">
        <v>75</v>
      </c>
      <c r="I420" t="s">
        <v>59</v>
      </c>
      <c r="J420" t="s">
        <v>32</v>
      </c>
      <c r="K420">
        <v>414</v>
      </c>
    </row>
    <row r="421" spans="1:11" x14ac:dyDescent="0.25">
      <c r="A421" s="2">
        <v>38534</v>
      </c>
      <c r="B421">
        <v>5</v>
      </c>
      <c r="C421" t="s">
        <v>135</v>
      </c>
      <c r="D421">
        <v>6</v>
      </c>
      <c r="E421" t="s">
        <v>93</v>
      </c>
      <c r="F421">
        <v>2</v>
      </c>
      <c r="G421" t="s">
        <v>60</v>
      </c>
      <c r="H421" t="s">
        <v>75</v>
      </c>
      <c r="I421" t="s">
        <v>59</v>
      </c>
      <c r="J421" t="s">
        <v>32</v>
      </c>
      <c r="K421">
        <v>480</v>
      </c>
    </row>
    <row r="422" spans="1:11" x14ac:dyDescent="0.25">
      <c r="A422" s="2">
        <v>38534</v>
      </c>
      <c r="B422">
        <v>5</v>
      </c>
      <c r="C422" t="s">
        <v>135</v>
      </c>
      <c r="D422">
        <v>6</v>
      </c>
      <c r="E422" t="s">
        <v>93</v>
      </c>
      <c r="F422">
        <v>2</v>
      </c>
      <c r="G422" t="s">
        <v>60</v>
      </c>
      <c r="H422" t="s">
        <v>76</v>
      </c>
      <c r="I422" t="s">
        <v>59</v>
      </c>
      <c r="J422" t="s">
        <v>32</v>
      </c>
      <c r="K422">
        <v>40</v>
      </c>
    </row>
    <row r="423" spans="1:11" x14ac:dyDescent="0.25">
      <c r="A423" s="2">
        <v>38534</v>
      </c>
      <c r="B423">
        <v>5</v>
      </c>
      <c r="C423" t="s">
        <v>135</v>
      </c>
      <c r="D423">
        <v>6</v>
      </c>
      <c r="E423" t="s">
        <v>93</v>
      </c>
      <c r="F423">
        <v>1</v>
      </c>
      <c r="G423" t="s">
        <v>57</v>
      </c>
      <c r="H423" t="s">
        <v>76</v>
      </c>
      <c r="I423" t="s">
        <v>59</v>
      </c>
      <c r="J423" t="s">
        <v>32</v>
      </c>
      <c r="K423">
        <v>40</v>
      </c>
    </row>
    <row r="424" spans="1:11" x14ac:dyDescent="0.25">
      <c r="A424" s="2">
        <v>38534</v>
      </c>
      <c r="B424">
        <v>5</v>
      </c>
      <c r="C424" t="s">
        <v>135</v>
      </c>
      <c r="D424">
        <v>6</v>
      </c>
      <c r="E424" t="s">
        <v>93</v>
      </c>
      <c r="F424">
        <v>1</v>
      </c>
      <c r="G424" t="s">
        <v>57</v>
      </c>
      <c r="H424" t="s">
        <v>77</v>
      </c>
      <c r="I424" t="s">
        <v>59</v>
      </c>
      <c r="J424" t="s">
        <v>32</v>
      </c>
      <c r="K424">
        <v>140</v>
      </c>
    </row>
    <row r="425" spans="1:11" x14ac:dyDescent="0.25">
      <c r="A425" s="2">
        <v>38534</v>
      </c>
      <c r="B425">
        <v>5</v>
      </c>
      <c r="C425" t="s">
        <v>135</v>
      </c>
      <c r="D425">
        <v>6</v>
      </c>
      <c r="E425" t="s">
        <v>93</v>
      </c>
      <c r="F425">
        <v>2</v>
      </c>
      <c r="G425" t="s">
        <v>60</v>
      </c>
      <c r="H425" t="s">
        <v>77</v>
      </c>
      <c r="I425" t="s">
        <v>59</v>
      </c>
      <c r="J425" t="s">
        <v>32</v>
      </c>
      <c r="K425">
        <v>200</v>
      </c>
    </row>
    <row r="426" spans="1:11" x14ac:dyDescent="0.25">
      <c r="A426" s="2">
        <v>38534</v>
      </c>
      <c r="B426">
        <v>5</v>
      </c>
      <c r="C426" t="s">
        <v>135</v>
      </c>
      <c r="D426">
        <v>6</v>
      </c>
      <c r="E426" t="s">
        <v>93</v>
      </c>
      <c r="F426">
        <v>2</v>
      </c>
      <c r="G426" t="s">
        <v>60</v>
      </c>
      <c r="H426" t="s">
        <v>78</v>
      </c>
      <c r="I426" t="s">
        <v>59</v>
      </c>
      <c r="J426" t="s">
        <v>32</v>
      </c>
      <c r="K426">
        <v>100</v>
      </c>
    </row>
    <row r="427" spans="1:11" x14ac:dyDescent="0.25">
      <c r="A427" s="2">
        <v>38534</v>
      </c>
      <c r="B427">
        <v>5</v>
      </c>
      <c r="C427" t="s">
        <v>135</v>
      </c>
      <c r="D427">
        <v>6</v>
      </c>
      <c r="E427" t="s">
        <v>93</v>
      </c>
      <c r="F427">
        <v>1</v>
      </c>
      <c r="G427" t="s">
        <v>57</v>
      </c>
      <c r="H427" t="s">
        <v>78</v>
      </c>
      <c r="I427" t="s">
        <v>59</v>
      </c>
      <c r="J427" t="s">
        <v>32</v>
      </c>
      <c r="K427">
        <v>116</v>
      </c>
    </row>
    <row r="428" spans="1:11" x14ac:dyDescent="0.25">
      <c r="A428" s="2">
        <v>38534</v>
      </c>
      <c r="B428">
        <v>5</v>
      </c>
      <c r="C428" t="s">
        <v>135</v>
      </c>
      <c r="D428">
        <v>6</v>
      </c>
      <c r="E428" t="s">
        <v>93</v>
      </c>
      <c r="F428">
        <v>1</v>
      </c>
      <c r="G428" t="s">
        <v>57</v>
      </c>
      <c r="H428" t="s">
        <v>79</v>
      </c>
      <c r="I428" t="s">
        <v>59</v>
      </c>
      <c r="J428" t="s">
        <v>32</v>
      </c>
      <c r="K428">
        <v>112</v>
      </c>
    </row>
    <row r="429" spans="1:11" x14ac:dyDescent="0.25">
      <c r="A429" s="2">
        <v>38534</v>
      </c>
      <c r="B429">
        <v>5</v>
      </c>
      <c r="C429" t="s">
        <v>135</v>
      </c>
      <c r="D429">
        <v>6</v>
      </c>
      <c r="E429" t="s">
        <v>93</v>
      </c>
      <c r="F429">
        <v>2</v>
      </c>
      <c r="G429" t="s">
        <v>60</v>
      </c>
      <c r="H429" t="s">
        <v>79</v>
      </c>
      <c r="I429" t="s">
        <v>59</v>
      </c>
      <c r="J429" t="s">
        <v>32</v>
      </c>
      <c r="K429">
        <v>100</v>
      </c>
    </row>
    <row r="430" spans="1:11" x14ac:dyDescent="0.25">
      <c r="A430" s="2">
        <v>38534</v>
      </c>
      <c r="B430">
        <v>5</v>
      </c>
      <c r="C430" t="s">
        <v>135</v>
      </c>
      <c r="D430">
        <v>6</v>
      </c>
      <c r="E430" t="s">
        <v>93</v>
      </c>
      <c r="F430">
        <v>2</v>
      </c>
      <c r="G430" t="s">
        <v>60</v>
      </c>
      <c r="H430" t="s">
        <v>80</v>
      </c>
      <c r="I430" t="s">
        <v>59</v>
      </c>
      <c r="J430" t="s">
        <v>32</v>
      </c>
      <c r="K430">
        <v>550</v>
      </c>
    </row>
    <row r="431" spans="1:11" x14ac:dyDescent="0.25">
      <c r="A431" s="2">
        <v>38534</v>
      </c>
      <c r="B431">
        <v>5</v>
      </c>
      <c r="C431" t="s">
        <v>135</v>
      </c>
      <c r="D431">
        <v>6</v>
      </c>
      <c r="E431" t="s">
        <v>93</v>
      </c>
      <c r="F431">
        <v>1</v>
      </c>
      <c r="G431" t="s">
        <v>57</v>
      </c>
      <c r="H431" t="s">
        <v>80</v>
      </c>
      <c r="I431" t="s">
        <v>59</v>
      </c>
      <c r="J431" t="s">
        <v>32</v>
      </c>
      <c r="K431">
        <v>630</v>
      </c>
    </row>
    <row r="432" spans="1:11" x14ac:dyDescent="0.25">
      <c r="A432" s="2">
        <v>38534</v>
      </c>
      <c r="B432">
        <v>5</v>
      </c>
      <c r="C432" t="s">
        <v>135</v>
      </c>
      <c r="D432">
        <v>6</v>
      </c>
      <c r="E432" t="s">
        <v>93</v>
      </c>
      <c r="F432">
        <v>1</v>
      </c>
      <c r="G432" t="s">
        <v>57</v>
      </c>
      <c r="H432" t="s">
        <v>81</v>
      </c>
      <c r="I432" t="s">
        <v>82</v>
      </c>
      <c r="J432" t="s">
        <v>32</v>
      </c>
      <c r="K432">
        <v>113</v>
      </c>
    </row>
    <row r="433" spans="1:11" x14ac:dyDescent="0.25">
      <c r="A433" s="2">
        <v>38534</v>
      </c>
      <c r="B433">
        <v>5</v>
      </c>
      <c r="C433" t="s">
        <v>135</v>
      </c>
      <c r="D433">
        <v>6</v>
      </c>
      <c r="E433" t="s">
        <v>93</v>
      </c>
      <c r="F433">
        <v>1</v>
      </c>
      <c r="G433" t="s">
        <v>57</v>
      </c>
      <c r="H433" t="s">
        <v>83</v>
      </c>
      <c r="I433" t="s">
        <v>59</v>
      </c>
      <c r="J433" t="s">
        <v>32</v>
      </c>
      <c r="K433">
        <v>174</v>
      </c>
    </row>
    <row r="434" spans="1:11" x14ac:dyDescent="0.25">
      <c r="A434" s="2">
        <v>38534</v>
      </c>
      <c r="B434">
        <v>5</v>
      </c>
      <c r="C434" t="s">
        <v>135</v>
      </c>
      <c r="D434">
        <v>6</v>
      </c>
      <c r="E434" t="s">
        <v>93</v>
      </c>
      <c r="F434">
        <v>1</v>
      </c>
      <c r="G434" t="s">
        <v>57</v>
      </c>
      <c r="H434" t="s">
        <v>84</v>
      </c>
      <c r="I434" t="s">
        <v>82</v>
      </c>
      <c r="J434" t="s">
        <v>32</v>
      </c>
      <c r="K434">
        <v>-139</v>
      </c>
    </row>
    <row r="435" spans="1:11" x14ac:dyDescent="0.25">
      <c r="A435" s="2">
        <v>38534</v>
      </c>
      <c r="B435">
        <v>5</v>
      </c>
      <c r="C435" t="s">
        <v>135</v>
      </c>
      <c r="D435">
        <v>6</v>
      </c>
      <c r="E435" t="s">
        <v>93</v>
      </c>
      <c r="F435">
        <v>1</v>
      </c>
      <c r="G435" t="s">
        <v>57</v>
      </c>
      <c r="H435" t="s">
        <v>85</v>
      </c>
      <c r="I435" t="s">
        <v>82</v>
      </c>
      <c r="J435" t="s">
        <v>32</v>
      </c>
      <c r="K435">
        <v>232</v>
      </c>
    </row>
    <row r="436" spans="1:11" x14ac:dyDescent="0.25">
      <c r="A436" s="2">
        <v>38534</v>
      </c>
      <c r="B436">
        <v>5</v>
      </c>
      <c r="C436" t="s">
        <v>135</v>
      </c>
      <c r="D436">
        <v>6</v>
      </c>
      <c r="E436" t="s">
        <v>93</v>
      </c>
      <c r="F436">
        <v>1</v>
      </c>
      <c r="G436" t="s">
        <v>57</v>
      </c>
      <c r="H436" t="s">
        <v>86</v>
      </c>
      <c r="I436" t="s">
        <v>59</v>
      </c>
      <c r="J436" t="s">
        <v>32</v>
      </c>
      <c r="K436">
        <v>4254</v>
      </c>
    </row>
    <row r="437" spans="1:11" x14ac:dyDescent="0.25">
      <c r="A437" s="2">
        <v>38534</v>
      </c>
      <c r="B437">
        <v>5</v>
      </c>
      <c r="C437" t="s">
        <v>135</v>
      </c>
      <c r="D437">
        <v>6</v>
      </c>
      <c r="E437" t="s">
        <v>93</v>
      </c>
      <c r="F437">
        <v>1</v>
      </c>
      <c r="G437" t="s">
        <v>57</v>
      </c>
      <c r="H437" t="s">
        <v>87</v>
      </c>
      <c r="I437" t="s">
        <v>88</v>
      </c>
      <c r="J437" t="s">
        <v>89</v>
      </c>
      <c r="K437">
        <v>7</v>
      </c>
    </row>
    <row r="438" spans="1:11" x14ac:dyDescent="0.25">
      <c r="A438" s="2">
        <v>38534</v>
      </c>
      <c r="B438">
        <v>5</v>
      </c>
      <c r="C438" t="s">
        <v>135</v>
      </c>
      <c r="D438">
        <v>6</v>
      </c>
      <c r="E438" t="s">
        <v>93</v>
      </c>
      <c r="F438">
        <v>1</v>
      </c>
      <c r="G438" t="s">
        <v>57</v>
      </c>
      <c r="H438" t="s">
        <v>89</v>
      </c>
      <c r="I438" t="s">
        <v>100</v>
      </c>
      <c r="J438" t="s">
        <v>89</v>
      </c>
      <c r="K438">
        <v>95</v>
      </c>
    </row>
    <row r="439" spans="1:11" x14ac:dyDescent="0.25">
      <c r="A439" s="2">
        <v>38534</v>
      </c>
      <c r="B439">
        <v>5</v>
      </c>
      <c r="C439" t="s">
        <v>135</v>
      </c>
      <c r="D439">
        <v>6</v>
      </c>
      <c r="E439" t="s">
        <v>93</v>
      </c>
      <c r="F439">
        <v>1</v>
      </c>
      <c r="G439" t="s">
        <v>57</v>
      </c>
      <c r="H439" t="s">
        <v>101</v>
      </c>
      <c r="I439" t="s">
        <v>88</v>
      </c>
      <c r="J439" t="s">
        <v>89</v>
      </c>
      <c r="K439">
        <v>38500</v>
      </c>
    </row>
    <row r="440" spans="1:11" x14ac:dyDescent="0.25">
      <c r="A440" s="2">
        <v>38534</v>
      </c>
      <c r="B440">
        <v>5</v>
      </c>
      <c r="C440" t="s">
        <v>135</v>
      </c>
      <c r="D440">
        <v>6</v>
      </c>
      <c r="E440" t="s">
        <v>93</v>
      </c>
      <c r="F440">
        <v>2</v>
      </c>
      <c r="G440" t="s">
        <v>60</v>
      </c>
      <c r="H440" t="s">
        <v>102</v>
      </c>
      <c r="I440" t="s">
        <v>82</v>
      </c>
      <c r="J440" t="s">
        <v>32</v>
      </c>
      <c r="K440">
        <v>53300</v>
      </c>
    </row>
    <row r="441" spans="1:11" x14ac:dyDescent="0.25">
      <c r="A441" s="2">
        <v>38534</v>
      </c>
      <c r="B441">
        <v>5</v>
      </c>
      <c r="C441" t="s">
        <v>135</v>
      </c>
      <c r="D441">
        <v>6</v>
      </c>
      <c r="E441" t="s">
        <v>93</v>
      </c>
      <c r="F441">
        <v>1</v>
      </c>
      <c r="G441" t="s">
        <v>57</v>
      </c>
      <c r="H441" t="s">
        <v>102</v>
      </c>
      <c r="I441" t="s">
        <v>82</v>
      </c>
      <c r="J441" t="s">
        <v>32</v>
      </c>
      <c r="K441">
        <v>56105</v>
      </c>
    </row>
    <row r="442" spans="1:11" x14ac:dyDescent="0.25">
      <c r="A442" s="2">
        <v>38534</v>
      </c>
      <c r="B442">
        <v>5</v>
      </c>
      <c r="C442" t="s">
        <v>135</v>
      </c>
      <c r="D442">
        <v>7</v>
      </c>
      <c r="E442" t="s">
        <v>103</v>
      </c>
      <c r="F442">
        <v>1</v>
      </c>
      <c r="G442" t="s">
        <v>57</v>
      </c>
      <c r="H442" t="s">
        <v>104</v>
      </c>
      <c r="I442" t="s">
        <v>92</v>
      </c>
      <c r="J442" t="s">
        <v>32</v>
      </c>
      <c r="K442">
        <v>64261</v>
      </c>
    </row>
    <row r="443" spans="1:11" x14ac:dyDescent="0.25">
      <c r="A443" s="2">
        <v>38534</v>
      </c>
      <c r="B443">
        <v>5</v>
      </c>
      <c r="C443" t="s">
        <v>135</v>
      </c>
      <c r="D443">
        <v>7</v>
      </c>
      <c r="E443" t="s">
        <v>103</v>
      </c>
      <c r="F443">
        <v>1</v>
      </c>
      <c r="G443" t="s">
        <v>57</v>
      </c>
      <c r="H443" t="s">
        <v>105</v>
      </c>
      <c r="I443" t="s">
        <v>92</v>
      </c>
      <c r="J443" t="s">
        <v>32</v>
      </c>
      <c r="K443">
        <v>95647</v>
      </c>
    </row>
    <row r="444" spans="1:11" x14ac:dyDescent="0.25">
      <c r="A444" s="2">
        <v>38534</v>
      </c>
      <c r="B444">
        <v>5</v>
      </c>
      <c r="C444" t="s">
        <v>135</v>
      </c>
      <c r="D444">
        <v>7</v>
      </c>
      <c r="E444" t="s">
        <v>103</v>
      </c>
      <c r="F444">
        <v>1</v>
      </c>
      <c r="G444" t="s">
        <v>57</v>
      </c>
      <c r="H444" t="s">
        <v>106</v>
      </c>
      <c r="I444" t="s">
        <v>92</v>
      </c>
      <c r="J444" t="s">
        <v>32</v>
      </c>
      <c r="K444">
        <v>2552</v>
      </c>
    </row>
    <row r="445" spans="1:11" x14ac:dyDescent="0.25">
      <c r="A445" s="2">
        <v>38534</v>
      </c>
      <c r="B445">
        <v>5</v>
      </c>
      <c r="C445" t="s">
        <v>135</v>
      </c>
      <c r="D445">
        <v>7</v>
      </c>
      <c r="E445" t="s">
        <v>103</v>
      </c>
      <c r="F445">
        <v>1</v>
      </c>
      <c r="G445" t="s">
        <v>57</v>
      </c>
      <c r="H445" t="s">
        <v>107</v>
      </c>
      <c r="I445" t="s">
        <v>92</v>
      </c>
      <c r="J445" t="s">
        <v>32</v>
      </c>
      <c r="K445">
        <v>1912</v>
      </c>
    </row>
    <row r="446" spans="1:11" x14ac:dyDescent="0.25">
      <c r="A446" s="2">
        <v>38534</v>
      </c>
      <c r="B446">
        <v>5</v>
      </c>
      <c r="C446" t="s">
        <v>135</v>
      </c>
      <c r="D446">
        <v>7</v>
      </c>
      <c r="E446" t="s">
        <v>103</v>
      </c>
      <c r="F446">
        <v>1</v>
      </c>
      <c r="G446" t="s">
        <v>57</v>
      </c>
      <c r="H446" t="s">
        <v>108</v>
      </c>
      <c r="I446" t="s">
        <v>92</v>
      </c>
      <c r="J446" t="s">
        <v>32</v>
      </c>
      <c r="K446">
        <v>15064</v>
      </c>
    </row>
    <row r="447" spans="1:11" x14ac:dyDescent="0.25">
      <c r="A447" s="2">
        <v>38534</v>
      </c>
      <c r="B447">
        <v>5</v>
      </c>
      <c r="C447" t="s">
        <v>135</v>
      </c>
      <c r="D447">
        <v>7</v>
      </c>
      <c r="E447" t="s">
        <v>103</v>
      </c>
      <c r="F447">
        <v>1</v>
      </c>
      <c r="G447" t="s">
        <v>57</v>
      </c>
      <c r="H447" t="s">
        <v>109</v>
      </c>
      <c r="I447" t="s">
        <v>92</v>
      </c>
      <c r="J447" t="s">
        <v>32</v>
      </c>
      <c r="K447">
        <v>10425</v>
      </c>
    </row>
    <row r="448" spans="1:11" x14ac:dyDescent="0.25">
      <c r="A448" s="2">
        <v>38534</v>
      </c>
      <c r="B448">
        <v>5</v>
      </c>
      <c r="C448" t="s">
        <v>135</v>
      </c>
      <c r="D448">
        <v>7</v>
      </c>
      <c r="E448" t="s">
        <v>103</v>
      </c>
      <c r="F448">
        <v>1</v>
      </c>
      <c r="G448" t="s">
        <v>57</v>
      </c>
      <c r="H448" t="s">
        <v>110</v>
      </c>
      <c r="I448" t="s">
        <v>92</v>
      </c>
      <c r="J448" t="s">
        <v>32</v>
      </c>
      <c r="K448">
        <v>17407</v>
      </c>
    </row>
    <row r="449" spans="1:11" x14ac:dyDescent="0.25">
      <c r="A449" s="2">
        <v>38534</v>
      </c>
      <c r="B449">
        <v>5</v>
      </c>
      <c r="C449" t="s">
        <v>135</v>
      </c>
      <c r="D449">
        <v>7</v>
      </c>
      <c r="E449" t="s">
        <v>103</v>
      </c>
      <c r="F449">
        <v>1</v>
      </c>
      <c r="G449" t="s">
        <v>57</v>
      </c>
      <c r="H449" t="s">
        <v>111</v>
      </c>
      <c r="I449" t="s">
        <v>92</v>
      </c>
      <c r="J449" t="s">
        <v>32</v>
      </c>
      <c r="K449">
        <v>8232</v>
      </c>
    </row>
    <row r="450" spans="1:11" x14ac:dyDescent="0.25">
      <c r="A450" s="2">
        <v>38534</v>
      </c>
      <c r="B450">
        <v>5</v>
      </c>
      <c r="C450" t="s">
        <v>135</v>
      </c>
      <c r="D450">
        <v>7</v>
      </c>
      <c r="E450" t="s">
        <v>103</v>
      </c>
      <c r="F450">
        <v>1</v>
      </c>
      <c r="G450" t="s">
        <v>57</v>
      </c>
      <c r="H450" t="s">
        <v>112</v>
      </c>
      <c r="I450" t="s">
        <v>92</v>
      </c>
      <c r="J450" t="s">
        <v>32</v>
      </c>
      <c r="K450">
        <v>26232</v>
      </c>
    </row>
    <row r="451" spans="1:11" x14ac:dyDescent="0.25">
      <c r="A451" s="2">
        <v>38534</v>
      </c>
      <c r="B451">
        <v>5</v>
      </c>
      <c r="C451" t="s">
        <v>135</v>
      </c>
      <c r="D451">
        <v>7</v>
      </c>
      <c r="E451" t="s">
        <v>103</v>
      </c>
      <c r="F451">
        <v>1</v>
      </c>
      <c r="G451" t="s">
        <v>57</v>
      </c>
      <c r="H451" t="s">
        <v>113</v>
      </c>
      <c r="I451" t="s">
        <v>92</v>
      </c>
      <c r="J451" t="s">
        <v>32</v>
      </c>
      <c r="K451">
        <v>7738</v>
      </c>
    </row>
    <row r="452" spans="1:11" x14ac:dyDescent="0.25">
      <c r="A452" s="2">
        <v>38534</v>
      </c>
      <c r="B452">
        <v>5</v>
      </c>
      <c r="C452" t="s">
        <v>135</v>
      </c>
      <c r="D452">
        <v>7</v>
      </c>
      <c r="E452" t="s">
        <v>103</v>
      </c>
      <c r="F452">
        <v>1</v>
      </c>
      <c r="G452" t="s">
        <v>57</v>
      </c>
      <c r="H452" t="s">
        <v>114</v>
      </c>
      <c r="I452" t="s">
        <v>92</v>
      </c>
      <c r="J452" t="s">
        <v>32</v>
      </c>
      <c r="K452">
        <v>43030</v>
      </c>
    </row>
    <row r="453" spans="1:11" x14ac:dyDescent="0.25">
      <c r="A453" s="2">
        <v>38534</v>
      </c>
      <c r="B453">
        <v>5</v>
      </c>
      <c r="C453" t="s">
        <v>135</v>
      </c>
      <c r="D453">
        <v>7</v>
      </c>
      <c r="E453" t="s">
        <v>103</v>
      </c>
      <c r="F453">
        <v>1</v>
      </c>
      <c r="G453" t="s">
        <v>57</v>
      </c>
      <c r="H453" t="s">
        <v>115</v>
      </c>
      <c r="I453" t="s">
        <v>92</v>
      </c>
      <c r="J453" t="s">
        <v>32</v>
      </c>
      <c r="K453">
        <v>7062</v>
      </c>
    </row>
    <row r="454" spans="1:11" x14ac:dyDescent="0.25">
      <c r="A454" s="2">
        <v>38534</v>
      </c>
      <c r="B454">
        <v>5</v>
      </c>
      <c r="C454" t="s">
        <v>135</v>
      </c>
      <c r="D454">
        <v>7</v>
      </c>
      <c r="E454" t="s">
        <v>103</v>
      </c>
      <c r="F454">
        <v>1</v>
      </c>
      <c r="G454" t="s">
        <v>57</v>
      </c>
      <c r="H454" t="s">
        <v>116</v>
      </c>
      <c r="I454" t="s">
        <v>92</v>
      </c>
      <c r="J454" t="s">
        <v>32</v>
      </c>
      <c r="K454">
        <v>2886</v>
      </c>
    </row>
    <row r="455" spans="1:11" x14ac:dyDescent="0.25">
      <c r="A455" s="2">
        <v>38534</v>
      </c>
      <c r="B455">
        <v>5</v>
      </c>
      <c r="C455" t="s">
        <v>135</v>
      </c>
      <c r="D455">
        <v>7</v>
      </c>
      <c r="E455" t="s">
        <v>103</v>
      </c>
      <c r="F455">
        <v>1</v>
      </c>
      <c r="G455" t="s">
        <v>57</v>
      </c>
      <c r="H455" t="s">
        <v>78</v>
      </c>
      <c r="I455" t="s">
        <v>92</v>
      </c>
      <c r="J455" t="s">
        <v>32</v>
      </c>
      <c r="K455">
        <v>15979</v>
      </c>
    </row>
    <row r="456" spans="1:11" x14ac:dyDescent="0.25">
      <c r="A456" s="2">
        <v>38534</v>
      </c>
      <c r="B456">
        <v>5</v>
      </c>
      <c r="C456" t="s">
        <v>135</v>
      </c>
      <c r="D456">
        <v>7</v>
      </c>
      <c r="E456" t="s">
        <v>103</v>
      </c>
      <c r="F456">
        <v>1</v>
      </c>
      <c r="G456" t="s">
        <v>57</v>
      </c>
      <c r="H456" t="s">
        <v>117</v>
      </c>
      <c r="I456" t="s">
        <v>118</v>
      </c>
      <c r="J456" t="s">
        <v>32</v>
      </c>
      <c r="K456">
        <v>13062</v>
      </c>
    </row>
    <row r="457" spans="1:11" x14ac:dyDescent="0.25">
      <c r="A457" s="2">
        <v>38534</v>
      </c>
      <c r="B457">
        <v>5</v>
      </c>
      <c r="C457" t="s">
        <v>135</v>
      </c>
      <c r="D457">
        <v>7</v>
      </c>
      <c r="E457" t="s">
        <v>103</v>
      </c>
      <c r="F457">
        <v>1</v>
      </c>
      <c r="G457" t="s">
        <v>57</v>
      </c>
      <c r="H457" t="s">
        <v>119</v>
      </c>
      <c r="I457" t="s">
        <v>118</v>
      </c>
      <c r="J457" t="s">
        <v>32</v>
      </c>
      <c r="K457">
        <v>114372</v>
      </c>
    </row>
    <row r="458" spans="1:11" x14ac:dyDescent="0.25">
      <c r="A458" s="2">
        <v>38534</v>
      </c>
      <c r="B458">
        <v>5</v>
      </c>
      <c r="C458" t="s">
        <v>135</v>
      </c>
      <c r="D458">
        <v>7</v>
      </c>
      <c r="E458" t="s">
        <v>103</v>
      </c>
      <c r="F458">
        <v>1</v>
      </c>
      <c r="G458" t="s">
        <v>57</v>
      </c>
      <c r="H458" t="s">
        <v>120</v>
      </c>
      <c r="I458" t="s">
        <v>118</v>
      </c>
      <c r="J458" t="s">
        <v>32</v>
      </c>
      <c r="K458">
        <v>34833</v>
      </c>
    </row>
    <row r="459" spans="1:11" x14ac:dyDescent="0.25">
      <c r="A459" s="2">
        <v>38534</v>
      </c>
      <c r="B459">
        <v>5</v>
      </c>
      <c r="C459" t="s">
        <v>135</v>
      </c>
      <c r="D459">
        <v>7</v>
      </c>
      <c r="E459" t="s">
        <v>103</v>
      </c>
      <c r="F459">
        <v>1</v>
      </c>
      <c r="G459" t="s">
        <v>57</v>
      </c>
      <c r="H459" t="s">
        <v>121</v>
      </c>
      <c r="I459" t="s">
        <v>118</v>
      </c>
      <c r="J459" t="s">
        <v>32</v>
      </c>
      <c r="K459">
        <v>17346</v>
      </c>
    </row>
    <row r="460" spans="1:11" x14ac:dyDescent="0.25">
      <c r="A460" s="2">
        <v>38534</v>
      </c>
      <c r="B460">
        <v>5</v>
      </c>
      <c r="C460" t="s">
        <v>135</v>
      </c>
      <c r="D460">
        <v>7</v>
      </c>
      <c r="E460" t="s">
        <v>103</v>
      </c>
      <c r="F460">
        <v>1</v>
      </c>
      <c r="G460" t="s">
        <v>57</v>
      </c>
      <c r="H460" t="s">
        <v>122</v>
      </c>
      <c r="I460" t="s">
        <v>118</v>
      </c>
      <c r="J460" t="s">
        <v>32</v>
      </c>
      <c r="K460">
        <v>16943</v>
      </c>
    </row>
    <row r="461" spans="1:11" x14ac:dyDescent="0.25">
      <c r="A461" s="2">
        <v>38534</v>
      </c>
      <c r="B461">
        <v>5</v>
      </c>
      <c r="C461" t="s">
        <v>135</v>
      </c>
      <c r="D461">
        <v>7</v>
      </c>
      <c r="E461" t="s">
        <v>103</v>
      </c>
      <c r="F461">
        <v>1</v>
      </c>
      <c r="G461" t="s">
        <v>57</v>
      </c>
      <c r="H461" t="s">
        <v>123</v>
      </c>
      <c r="I461" t="s">
        <v>118</v>
      </c>
      <c r="J461" t="s">
        <v>32</v>
      </c>
      <c r="K461">
        <v>6427</v>
      </c>
    </row>
    <row r="462" spans="1:11" x14ac:dyDescent="0.25">
      <c r="A462" s="2">
        <v>38534</v>
      </c>
      <c r="B462">
        <v>5</v>
      </c>
      <c r="C462" t="s">
        <v>135</v>
      </c>
      <c r="D462">
        <v>7</v>
      </c>
      <c r="E462" t="s">
        <v>103</v>
      </c>
      <c r="F462">
        <v>1</v>
      </c>
      <c r="G462" t="s">
        <v>57</v>
      </c>
      <c r="H462" t="s">
        <v>124</v>
      </c>
      <c r="I462" t="s">
        <v>118</v>
      </c>
      <c r="J462" t="s">
        <v>32</v>
      </c>
      <c r="K462">
        <v>23503</v>
      </c>
    </row>
    <row r="463" spans="1:11" x14ac:dyDescent="0.25">
      <c r="A463" s="2">
        <v>38534</v>
      </c>
      <c r="B463">
        <v>5</v>
      </c>
      <c r="C463" t="s">
        <v>135</v>
      </c>
      <c r="D463">
        <v>7</v>
      </c>
      <c r="E463" t="s">
        <v>103</v>
      </c>
      <c r="F463">
        <v>1</v>
      </c>
      <c r="G463" t="s">
        <v>57</v>
      </c>
      <c r="H463" t="s">
        <v>125</v>
      </c>
      <c r="I463" t="s">
        <v>118</v>
      </c>
      <c r="J463" t="s">
        <v>32</v>
      </c>
      <c r="K463">
        <v>19883</v>
      </c>
    </row>
    <row r="464" spans="1:11" x14ac:dyDescent="0.25">
      <c r="A464" s="2">
        <v>38534</v>
      </c>
      <c r="B464">
        <v>5</v>
      </c>
      <c r="C464" t="s">
        <v>135</v>
      </c>
      <c r="D464">
        <v>7</v>
      </c>
      <c r="E464" t="s">
        <v>103</v>
      </c>
      <c r="F464">
        <v>1</v>
      </c>
      <c r="G464" t="s">
        <v>57</v>
      </c>
      <c r="H464" t="s">
        <v>126</v>
      </c>
      <c r="I464" t="s">
        <v>118</v>
      </c>
      <c r="J464" t="s">
        <v>32</v>
      </c>
      <c r="K464">
        <v>20232</v>
      </c>
    </row>
    <row r="465" spans="1:11" x14ac:dyDescent="0.25">
      <c r="A465" s="2">
        <v>38534</v>
      </c>
      <c r="B465">
        <v>5</v>
      </c>
      <c r="C465" t="s">
        <v>135</v>
      </c>
      <c r="D465">
        <v>7</v>
      </c>
      <c r="E465" t="s">
        <v>103</v>
      </c>
      <c r="F465">
        <v>1</v>
      </c>
      <c r="G465" t="s">
        <v>57</v>
      </c>
      <c r="H465" t="s">
        <v>127</v>
      </c>
      <c r="I465" t="s">
        <v>118</v>
      </c>
      <c r="J465" t="s">
        <v>32</v>
      </c>
      <c r="K465">
        <v>35207</v>
      </c>
    </row>
    <row r="466" spans="1:11" x14ac:dyDescent="0.25">
      <c r="A466" s="2">
        <v>38534</v>
      </c>
      <c r="B466">
        <v>5</v>
      </c>
      <c r="C466" t="s">
        <v>135</v>
      </c>
      <c r="D466">
        <v>7</v>
      </c>
      <c r="E466" t="s">
        <v>103</v>
      </c>
      <c r="F466">
        <v>1</v>
      </c>
      <c r="G466" t="s">
        <v>57</v>
      </c>
      <c r="H466" t="s">
        <v>128</v>
      </c>
      <c r="I466" t="s">
        <v>118</v>
      </c>
      <c r="J466" t="s">
        <v>32</v>
      </c>
      <c r="K466">
        <v>19062</v>
      </c>
    </row>
    <row r="467" spans="1:11" x14ac:dyDescent="0.25">
      <c r="A467" s="2">
        <v>38534</v>
      </c>
      <c r="B467">
        <v>5</v>
      </c>
      <c r="C467" t="s">
        <v>135</v>
      </c>
      <c r="D467">
        <v>7</v>
      </c>
      <c r="E467" t="s">
        <v>103</v>
      </c>
      <c r="F467">
        <v>1</v>
      </c>
      <c r="G467" t="s">
        <v>57</v>
      </c>
      <c r="H467" t="s">
        <v>129</v>
      </c>
      <c r="I467" t="s">
        <v>118</v>
      </c>
      <c r="J467" t="s">
        <v>32</v>
      </c>
      <c r="K467">
        <v>350000</v>
      </c>
    </row>
    <row r="468" spans="1:11" x14ac:dyDescent="0.25">
      <c r="A468" s="2">
        <v>38534</v>
      </c>
      <c r="B468">
        <v>5</v>
      </c>
      <c r="C468" t="s">
        <v>135</v>
      </c>
      <c r="D468">
        <v>7</v>
      </c>
      <c r="E468" t="s">
        <v>103</v>
      </c>
      <c r="F468">
        <v>1</v>
      </c>
      <c r="G468" t="s">
        <v>57</v>
      </c>
      <c r="H468" t="s">
        <v>130</v>
      </c>
      <c r="I468" t="s">
        <v>118</v>
      </c>
      <c r="J468" t="s">
        <v>32</v>
      </c>
      <c r="K468">
        <v>-657203.80000000005</v>
      </c>
    </row>
    <row r="469" spans="1:11" x14ac:dyDescent="0.25">
      <c r="A469" s="2">
        <v>38534</v>
      </c>
      <c r="B469">
        <v>5</v>
      </c>
      <c r="C469" t="s">
        <v>135</v>
      </c>
      <c r="D469">
        <v>7</v>
      </c>
      <c r="E469" t="s">
        <v>103</v>
      </c>
      <c r="F469">
        <v>1</v>
      </c>
      <c r="G469" t="s">
        <v>57</v>
      </c>
      <c r="H469" t="s">
        <v>131</v>
      </c>
      <c r="I469" t="s">
        <v>118</v>
      </c>
      <c r="J469" t="s">
        <v>32</v>
      </c>
      <c r="K469">
        <v>359790.8</v>
      </c>
    </row>
    <row r="470" spans="1:11" x14ac:dyDescent="0.25">
      <c r="A470" s="2">
        <v>38534</v>
      </c>
      <c r="B470">
        <v>5</v>
      </c>
      <c r="C470" t="s">
        <v>135</v>
      </c>
      <c r="D470">
        <v>7</v>
      </c>
      <c r="E470" t="s">
        <v>103</v>
      </c>
      <c r="F470">
        <v>1</v>
      </c>
      <c r="G470" t="s">
        <v>57</v>
      </c>
      <c r="H470" t="s">
        <v>132</v>
      </c>
      <c r="I470" t="s">
        <v>118</v>
      </c>
      <c r="J470" t="s">
        <v>32</v>
      </c>
      <c r="K470">
        <v>-51614</v>
      </c>
    </row>
    <row r="471" spans="1:11" x14ac:dyDescent="0.25">
      <c r="A471" s="2">
        <v>38534</v>
      </c>
      <c r="B471">
        <v>5</v>
      </c>
      <c r="C471" t="s">
        <v>135</v>
      </c>
      <c r="D471">
        <v>7</v>
      </c>
      <c r="E471" t="s">
        <v>103</v>
      </c>
      <c r="F471">
        <v>1</v>
      </c>
      <c r="G471" t="s">
        <v>57</v>
      </c>
      <c r="H471" t="s">
        <v>133</v>
      </c>
      <c r="I471" t="s">
        <v>118</v>
      </c>
      <c r="J471" t="s">
        <v>32</v>
      </c>
      <c r="K471">
        <v>13976</v>
      </c>
    </row>
    <row r="472" spans="1:11" x14ac:dyDescent="0.25">
      <c r="A472" s="2">
        <v>38534</v>
      </c>
      <c r="B472">
        <v>6</v>
      </c>
      <c r="C472" t="s">
        <v>136</v>
      </c>
      <c r="D472">
        <v>1</v>
      </c>
      <c r="E472" t="s">
        <v>56</v>
      </c>
      <c r="F472">
        <v>1</v>
      </c>
      <c r="G472" t="s">
        <v>57</v>
      </c>
      <c r="H472" t="s">
        <v>58</v>
      </c>
      <c r="I472" t="s">
        <v>59</v>
      </c>
      <c r="J472" t="s">
        <v>32</v>
      </c>
      <c r="K472">
        <v>20800</v>
      </c>
    </row>
    <row r="473" spans="1:11" x14ac:dyDescent="0.25">
      <c r="A473" s="2">
        <v>38534</v>
      </c>
      <c r="B473">
        <v>6</v>
      </c>
      <c r="C473" t="s">
        <v>136</v>
      </c>
      <c r="D473">
        <v>1</v>
      </c>
      <c r="E473" t="s">
        <v>56</v>
      </c>
      <c r="F473">
        <v>2</v>
      </c>
      <c r="G473" t="s">
        <v>60</v>
      </c>
      <c r="H473" t="s">
        <v>58</v>
      </c>
      <c r="I473" t="s">
        <v>59</v>
      </c>
      <c r="J473" t="s">
        <v>32</v>
      </c>
      <c r="K473">
        <v>19800</v>
      </c>
    </row>
    <row r="474" spans="1:11" x14ac:dyDescent="0.25">
      <c r="A474" s="2">
        <v>38534</v>
      </c>
      <c r="B474">
        <v>6</v>
      </c>
      <c r="C474" t="s">
        <v>136</v>
      </c>
      <c r="D474">
        <v>1</v>
      </c>
      <c r="E474" t="s">
        <v>56</v>
      </c>
      <c r="F474">
        <v>2</v>
      </c>
      <c r="G474" t="s">
        <v>60</v>
      </c>
      <c r="H474" t="s">
        <v>61</v>
      </c>
      <c r="I474" t="s">
        <v>59</v>
      </c>
      <c r="J474" t="s">
        <v>32</v>
      </c>
      <c r="K474">
        <v>1800</v>
      </c>
    </row>
    <row r="475" spans="1:11" x14ac:dyDescent="0.25">
      <c r="A475" s="2">
        <v>38534</v>
      </c>
      <c r="B475">
        <v>6</v>
      </c>
      <c r="C475" t="s">
        <v>136</v>
      </c>
      <c r="D475">
        <v>1</v>
      </c>
      <c r="E475" t="s">
        <v>56</v>
      </c>
      <c r="F475">
        <v>1</v>
      </c>
      <c r="G475" t="s">
        <v>57</v>
      </c>
      <c r="H475" t="s">
        <v>61</v>
      </c>
      <c r="I475" t="s">
        <v>59</v>
      </c>
      <c r="J475" t="s">
        <v>32</v>
      </c>
      <c r="K475">
        <v>2080</v>
      </c>
    </row>
    <row r="476" spans="1:11" x14ac:dyDescent="0.25">
      <c r="A476" s="2">
        <v>38534</v>
      </c>
      <c r="B476">
        <v>6</v>
      </c>
      <c r="C476" t="s">
        <v>136</v>
      </c>
      <c r="D476">
        <v>1</v>
      </c>
      <c r="E476" t="s">
        <v>56</v>
      </c>
      <c r="F476">
        <v>1</v>
      </c>
      <c r="G476" t="s">
        <v>57</v>
      </c>
      <c r="H476" t="s">
        <v>62</v>
      </c>
      <c r="I476" t="s">
        <v>59</v>
      </c>
      <c r="J476" t="s">
        <v>32</v>
      </c>
      <c r="K476">
        <v>1040</v>
      </c>
    </row>
    <row r="477" spans="1:11" x14ac:dyDescent="0.25">
      <c r="A477" s="2">
        <v>38534</v>
      </c>
      <c r="B477">
        <v>6</v>
      </c>
      <c r="C477" t="s">
        <v>136</v>
      </c>
      <c r="D477">
        <v>1</v>
      </c>
      <c r="E477" t="s">
        <v>56</v>
      </c>
      <c r="F477">
        <v>2</v>
      </c>
      <c r="G477" t="s">
        <v>60</v>
      </c>
      <c r="H477" t="s">
        <v>62</v>
      </c>
      <c r="I477" t="s">
        <v>59</v>
      </c>
      <c r="J477" t="s">
        <v>32</v>
      </c>
      <c r="K477">
        <v>1200</v>
      </c>
    </row>
    <row r="478" spans="1:11" x14ac:dyDescent="0.25">
      <c r="A478" s="2">
        <v>38534</v>
      </c>
      <c r="B478">
        <v>6</v>
      </c>
      <c r="C478" t="s">
        <v>136</v>
      </c>
      <c r="D478">
        <v>1</v>
      </c>
      <c r="E478" t="s">
        <v>56</v>
      </c>
      <c r="F478">
        <v>2</v>
      </c>
      <c r="G478" t="s">
        <v>60</v>
      </c>
      <c r="H478" t="s">
        <v>63</v>
      </c>
      <c r="I478" t="s">
        <v>59</v>
      </c>
      <c r="J478" t="s">
        <v>32</v>
      </c>
      <c r="K478">
        <v>280</v>
      </c>
    </row>
    <row r="479" spans="1:11" x14ac:dyDescent="0.25">
      <c r="A479" s="2">
        <v>38534</v>
      </c>
      <c r="B479">
        <v>6</v>
      </c>
      <c r="C479" t="s">
        <v>136</v>
      </c>
      <c r="D479">
        <v>1</v>
      </c>
      <c r="E479" t="s">
        <v>56</v>
      </c>
      <c r="F479">
        <v>1</v>
      </c>
      <c r="G479" t="s">
        <v>57</v>
      </c>
      <c r="H479" t="s">
        <v>63</v>
      </c>
      <c r="I479" t="s">
        <v>59</v>
      </c>
      <c r="J479" t="s">
        <v>32</v>
      </c>
      <c r="K479">
        <v>218</v>
      </c>
    </row>
    <row r="480" spans="1:11" x14ac:dyDescent="0.25">
      <c r="A480" s="2">
        <v>38534</v>
      </c>
      <c r="B480">
        <v>6</v>
      </c>
      <c r="C480" t="s">
        <v>136</v>
      </c>
      <c r="D480">
        <v>1</v>
      </c>
      <c r="E480" t="s">
        <v>56</v>
      </c>
      <c r="F480">
        <v>1</v>
      </c>
      <c r="G480" t="s">
        <v>57</v>
      </c>
      <c r="H480" t="s">
        <v>64</v>
      </c>
      <c r="I480" t="s">
        <v>59</v>
      </c>
      <c r="J480" t="s">
        <v>32</v>
      </c>
      <c r="K480">
        <v>198</v>
      </c>
    </row>
    <row r="481" spans="1:11" x14ac:dyDescent="0.25">
      <c r="A481" s="2">
        <v>38534</v>
      </c>
      <c r="B481">
        <v>6</v>
      </c>
      <c r="C481" t="s">
        <v>136</v>
      </c>
      <c r="D481">
        <v>1</v>
      </c>
      <c r="E481" t="s">
        <v>56</v>
      </c>
      <c r="F481">
        <v>2</v>
      </c>
      <c r="G481" t="s">
        <v>60</v>
      </c>
      <c r="H481" t="s">
        <v>64</v>
      </c>
      <c r="I481" t="s">
        <v>59</v>
      </c>
      <c r="J481" t="s">
        <v>32</v>
      </c>
      <c r="K481">
        <v>280</v>
      </c>
    </row>
    <row r="482" spans="1:11" x14ac:dyDescent="0.25">
      <c r="A482" s="2">
        <v>38534</v>
      </c>
      <c r="B482">
        <v>6</v>
      </c>
      <c r="C482" t="s">
        <v>136</v>
      </c>
      <c r="D482">
        <v>1</v>
      </c>
      <c r="E482" t="s">
        <v>56</v>
      </c>
      <c r="F482">
        <v>2</v>
      </c>
      <c r="G482" t="s">
        <v>60</v>
      </c>
      <c r="H482" t="s">
        <v>65</v>
      </c>
      <c r="I482" t="s">
        <v>59</v>
      </c>
      <c r="J482" t="s">
        <v>32</v>
      </c>
      <c r="K482">
        <v>100</v>
      </c>
    </row>
    <row r="483" spans="1:11" x14ac:dyDescent="0.25">
      <c r="A483" s="2">
        <v>38534</v>
      </c>
      <c r="B483">
        <v>6</v>
      </c>
      <c r="C483" t="s">
        <v>136</v>
      </c>
      <c r="D483">
        <v>1</v>
      </c>
      <c r="E483" t="s">
        <v>56</v>
      </c>
      <c r="F483">
        <v>1</v>
      </c>
      <c r="G483" t="s">
        <v>57</v>
      </c>
      <c r="H483" t="s">
        <v>65</v>
      </c>
      <c r="I483" t="s">
        <v>59</v>
      </c>
      <c r="J483" t="s">
        <v>32</v>
      </c>
      <c r="K483">
        <v>109</v>
      </c>
    </row>
    <row r="484" spans="1:11" x14ac:dyDescent="0.25">
      <c r="A484" s="2">
        <v>38534</v>
      </c>
      <c r="B484">
        <v>6</v>
      </c>
      <c r="C484" t="s">
        <v>136</v>
      </c>
      <c r="D484">
        <v>1</v>
      </c>
      <c r="E484" t="s">
        <v>56</v>
      </c>
      <c r="F484">
        <v>1</v>
      </c>
      <c r="G484" t="s">
        <v>57</v>
      </c>
      <c r="H484" t="s">
        <v>66</v>
      </c>
      <c r="I484" t="s">
        <v>59</v>
      </c>
      <c r="J484" t="s">
        <v>32</v>
      </c>
      <c r="K484">
        <v>78</v>
      </c>
    </row>
    <row r="485" spans="1:11" x14ac:dyDescent="0.25">
      <c r="A485" s="2">
        <v>38534</v>
      </c>
      <c r="B485">
        <v>6</v>
      </c>
      <c r="C485" t="s">
        <v>136</v>
      </c>
      <c r="D485">
        <v>1</v>
      </c>
      <c r="E485" t="s">
        <v>56</v>
      </c>
      <c r="F485">
        <v>2</v>
      </c>
      <c r="G485" t="s">
        <v>60</v>
      </c>
      <c r="H485" t="s">
        <v>66</v>
      </c>
      <c r="I485" t="s">
        <v>59</v>
      </c>
      <c r="J485" t="s">
        <v>32</v>
      </c>
      <c r="K485">
        <v>100</v>
      </c>
    </row>
    <row r="486" spans="1:11" x14ac:dyDescent="0.25">
      <c r="A486" s="2">
        <v>38534</v>
      </c>
      <c r="B486">
        <v>6</v>
      </c>
      <c r="C486" t="s">
        <v>136</v>
      </c>
      <c r="D486">
        <v>1</v>
      </c>
      <c r="E486" t="s">
        <v>56</v>
      </c>
      <c r="F486">
        <v>1</v>
      </c>
      <c r="G486" t="s">
        <v>57</v>
      </c>
      <c r="H486" t="s">
        <v>67</v>
      </c>
      <c r="I486" t="s">
        <v>59</v>
      </c>
      <c r="J486" t="s">
        <v>32</v>
      </c>
      <c r="K486">
        <v>22</v>
      </c>
    </row>
    <row r="487" spans="1:11" x14ac:dyDescent="0.25">
      <c r="A487" s="2">
        <v>38534</v>
      </c>
      <c r="B487">
        <v>6</v>
      </c>
      <c r="C487" t="s">
        <v>136</v>
      </c>
      <c r="D487">
        <v>1</v>
      </c>
      <c r="E487" t="s">
        <v>56</v>
      </c>
      <c r="F487">
        <v>1</v>
      </c>
      <c r="G487" t="s">
        <v>57</v>
      </c>
      <c r="H487" t="s">
        <v>68</v>
      </c>
      <c r="I487" t="s">
        <v>59</v>
      </c>
      <c r="J487" t="s">
        <v>32</v>
      </c>
      <c r="K487">
        <v>31</v>
      </c>
    </row>
    <row r="488" spans="1:11" x14ac:dyDescent="0.25">
      <c r="A488" s="2">
        <v>38534</v>
      </c>
      <c r="B488">
        <v>6</v>
      </c>
      <c r="C488" t="s">
        <v>136</v>
      </c>
      <c r="D488">
        <v>1</v>
      </c>
      <c r="E488" t="s">
        <v>56</v>
      </c>
      <c r="F488">
        <v>2</v>
      </c>
      <c r="G488" t="s">
        <v>60</v>
      </c>
      <c r="H488" t="s">
        <v>68</v>
      </c>
      <c r="I488" t="s">
        <v>59</v>
      </c>
      <c r="J488" t="s">
        <v>32</v>
      </c>
      <c r="K488">
        <v>60</v>
      </c>
    </row>
    <row r="489" spans="1:11" x14ac:dyDescent="0.25">
      <c r="A489" s="2">
        <v>38534</v>
      </c>
      <c r="B489">
        <v>6</v>
      </c>
      <c r="C489" t="s">
        <v>136</v>
      </c>
      <c r="D489">
        <v>1</v>
      </c>
      <c r="E489" t="s">
        <v>56</v>
      </c>
      <c r="F489">
        <v>2</v>
      </c>
      <c r="G489" t="s">
        <v>60</v>
      </c>
      <c r="H489" t="s">
        <v>69</v>
      </c>
      <c r="I489" t="s">
        <v>59</v>
      </c>
      <c r="J489" t="s">
        <v>32</v>
      </c>
      <c r="K489">
        <v>220</v>
      </c>
    </row>
    <row r="490" spans="1:11" x14ac:dyDescent="0.25">
      <c r="A490" s="2">
        <v>38534</v>
      </c>
      <c r="B490">
        <v>6</v>
      </c>
      <c r="C490" t="s">
        <v>136</v>
      </c>
      <c r="D490">
        <v>1</v>
      </c>
      <c r="E490" t="s">
        <v>56</v>
      </c>
      <c r="F490">
        <v>1</v>
      </c>
      <c r="G490" t="s">
        <v>57</v>
      </c>
      <c r="H490" t="s">
        <v>69</v>
      </c>
      <c r="I490" t="s">
        <v>59</v>
      </c>
      <c r="J490" t="s">
        <v>32</v>
      </c>
      <c r="K490">
        <v>169</v>
      </c>
    </row>
    <row r="491" spans="1:11" x14ac:dyDescent="0.25">
      <c r="A491" s="2">
        <v>38534</v>
      </c>
      <c r="B491">
        <v>6</v>
      </c>
      <c r="C491" t="s">
        <v>136</v>
      </c>
      <c r="D491">
        <v>1</v>
      </c>
      <c r="E491" t="s">
        <v>56</v>
      </c>
      <c r="F491">
        <v>1</v>
      </c>
      <c r="G491" t="s">
        <v>57</v>
      </c>
      <c r="H491" t="s">
        <v>70</v>
      </c>
      <c r="I491" t="s">
        <v>59</v>
      </c>
      <c r="J491" t="s">
        <v>32</v>
      </c>
      <c r="K491">
        <v>105</v>
      </c>
    </row>
    <row r="492" spans="1:11" x14ac:dyDescent="0.25">
      <c r="A492" s="2">
        <v>38534</v>
      </c>
      <c r="B492">
        <v>6</v>
      </c>
      <c r="C492" t="s">
        <v>136</v>
      </c>
      <c r="D492">
        <v>1</v>
      </c>
      <c r="E492" t="s">
        <v>56</v>
      </c>
      <c r="F492">
        <v>2</v>
      </c>
      <c r="G492" t="s">
        <v>60</v>
      </c>
      <c r="H492" t="s">
        <v>70</v>
      </c>
      <c r="I492" t="s">
        <v>59</v>
      </c>
      <c r="J492" t="s">
        <v>32</v>
      </c>
      <c r="K492">
        <v>100</v>
      </c>
    </row>
    <row r="493" spans="1:11" x14ac:dyDescent="0.25">
      <c r="A493" s="2">
        <v>38534</v>
      </c>
      <c r="B493">
        <v>6</v>
      </c>
      <c r="C493" t="s">
        <v>136</v>
      </c>
      <c r="D493">
        <v>1</v>
      </c>
      <c r="E493" t="s">
        <v>56</v>
      </c>
      <c r="F493">
        <v>2</v>
      </c>
      <c r="G493" t="s">
        <v>60</v>
      </c>
      <c r="H493" t="s">
        <v>71</v>
      </c>
      <c r="I493" t="s">
        <v>59</v>
      </c>
      <c r="J493" t="s">
        <v>32</v>
      </c>
      <c r="K493">
        <v>200</v>
      </c>
    </row>
    <row r="494" spans="1:11" x14ac:dyDescent="0.25">
      <c r="A494" s="2">
        <v>38534</v>
      </c>
      <c r="B494">
        <v>6</v>
      </c>
      <c r="C494" t="s">
        <v>136</v>
      </c>
      <c r="D494">
        <v>1</v>
      </c>
      <c r="E494" t="s">
        <v>56</v>
      </c>
      <c r="F494">
        <v>1</v>
      </c>
      <c r="G494" t="s">
        <v>57</v>
      </c>
      <c r="H494" t="s">
        <v>71</v>
      </c>
      <c r="I494" t="s">
        <v>59</v>
      </c>
      <c r="J494" t="s">
        <v>32</v>
      </c>
      <c r="K494">
        <v>237</v>
      </c>
    </row>
    <row r="495" spans="1:11" x14ac:dyDescent="0.25">
      <c r="A495" s="2">
        <v>38534</v>
      </c>
      <c r="B495">
        <v>6</v>
      </c>
      <c r="C495" t="s">
        <v>136</v>
      </c>
      <c r="D495">
        <v>1</v>
      </c>
      <c r="E495" t="s">
        <v>56</v>
      </c>
      <c r="F495">
        <v>1</v>
      </c>
      <c r="G495" t="s">
        <v>57</v>
      </c>
      <c r="H495" t="s">
        <v>72</v>
      </c>
      <c r="I495" t="s">
        <v>59</v>
      </c>
      <c r="J495" t="s">
        <v>32</v>
      </c>
      <c r="K495">
        <v>426</v>
      </c>
    </row>
    <row r="496" spans="1:11" x14ac:dyDescent="0.25">
      <c r="A496" s="2">
        <v>38534</v>
      </c>
      <c r="B496">
        <v>6</v>
      </c>
      <c r="C496" t="s">
        <v>136</v>
      </c>
      <c r="D496">
        <v>1</v>
      </c>
      <c r="E496" t="s">
        <v>56</v>
      </c>
      <c r="F496">
        <v>2</v>
      </c>
      <c r="G496" t="s">
        <v>60</v>
      </c>
      <c r="H496" t="s">
        <v>72</v>
      </c>
      <c r="I496" t="s">
        <v>59</v>
      </c>
      <c r="J496" t="s">
        <v>32</v>
      </c>
      <c r="K496">
        <v>380</v>
      </c>
    </row>
    <row r="497" spans="1:11" x14ac:dyDescent="0.25">
      <c r="A497" s="2">
        <v>38534</v>
      </c>
      <c r="B497">
        <v>6</v>
      </c>
      <c r="C497" t="s">
        <v>136</v>
      </c>
      <c r="D497">
        <v>1</v>
      </c>
      <c r="E497" t="s">
        <v>56</v>
      </c>
      <c r="F497">
        <v>2</v>
      </c>
      <c r="G497" t="s">
        <v>60</v>
      </c>
      <c r="H497" t="s">
        <v>73</v>
      </c>
      <c r="I497" t="s">
        <v>59</v>
      </c>
      <c r="J497" t="s">
        <v>32</v>
      </c>
      <c r="K497">
        <v>100</v>
      </c>
    </row>
    <row r="498" spans="1:11" x14ac:dyDescent="0.25">
      <c r="A498" s="2">
        <v>38534</v>
      </c>
      <c r="B498">
        <v>6</v>
      </c>
      <c r="C498" t="s">
        <v>136</v>
      </c>
      <c r="D498">
        <v>1</v>
      </c>
      <c r="E498" t="s">
        <v>56</v>
      </c>
      <c r="F498">
        <v>1</v>
      </c>
      <c r="G498" t="s">
        <v>57</v>
      </c>
      <c r="H498" t="s">
        <v>73</v>
      </c>
      <c r="I498" t="s">
        <v>59</v>
      </c>
      <c r="J498" t="s">
        <v>32</v>
      </c>
      <c r="K498">
        <v>147</v>
      </c>
    </row>
    <row r="499" spans="1:11" x14ac:dyDescent="0.25">
      <c r="A499" s="2">
        <v>38534</v>
      </c>
      <c r="B499">
        <v>6</v>
      </c>
      <c r="C499" t="s">
        <v>136</v>
      </c>
      <c r="D499">
        <v>1</v>
      </c>
      <c r="E499" t="s">
        <v>56</v>
      </c>
      <c r="F499">
        <v>1</v>
      </c>
      <c r="G499" t="s">
        <v>57</v>
      </c>
      <c r="H499" t="s">
        <v>74</v>
      </c>
      <c r="I499" t="s">
        <v>59</v>
      </c>
      <c r="J499" t="s">
        <v>32</v>
      </c>
      <c r="K499">
        <v>584</v>
      </c>
    </row>
    <row r="500" spans="1:11" x14ac:dyDescent="0.25">
      <c r="A500" s="2">
        <v>38534</v>
      </c>
      <c r="B500">
        <v>6</v>
      </c>
      <c r="C500" t="s">
        <v>136</v>
      </c>
      <c r="D500">
        <v>1</v>
      </c>
      <c r="E500" t="s">
        <v>56</v>
      </c>
      <c r="F500">
        <v>2</v>
      </c>
      <c r="G500" t="s">
        <v>60</v>
      </c>
      <c r="H500" t="s">
        <v>74</v>
      </c>
      <c r="I500" t="s">
        <v>59</v>
      </c>
      <c r="J500" t="s">
        <v>32</v>
      </c>
      <c r="K500">
        <v>550</v>
      </c>
    </row>
    <row r="501" spans="1:11" x14ac:dyDescent="0.25">
      <c r="A501" s="2">
        <v>38534</v>
      </c>
      <c r="B501">
        <v>6</v>
      </c>
      <c r="C501" t="s">
        <v>136</v>
      </c>
      <c r="D501">
        <v>1</v>
      </c>
      <c r="E501" t="s">
        <v>56</v>
      </c>
      <c r="F501">
        <v>2</v>
      </c>
      <c r="G501" t="s">
        <v>60</v>
      </c>
      <c r="H501" t="s">
        <v>75</v>
      </c>
      <c r="I501" t="s">
        <v>59</v>
      </c>
      <c r="J501" t="s">
        <v>32</v>
      </c>
      <c r="K501">
        <v>280</v>
      </c>
    </row>
    <row r="502" spans="1:11" x14ac:dyDescent="0.25">
      <c r="A502" s="2">
        <v>38534</v>
      </c>
      <c r="B502">
        <v>6</v>
      </c>
      <c r="C502" t="s">
        <v>136</v>
      </c>
      <c r="D502">
        <v>1</v>
      </c>
      <c r="E502" t="s">
        <v>56</v>
      </c>
      <c r="F502">
        <v>1</v>
      </c>
      <c r="G502" t="s">
        <v>57</v>
      </c>
      <c r="H502" t="s">
        <v>75</v>
      </c>
      <c r="I502" t="s">
        <v>59</v>
      </c>
      <c r="J502" t="s">
        <v>32</v>
      </c>
      <c r="K502">
        <v>361</v>
      </c>
    </row>
    <row r="503" spans="1:11" x14ac:dyDescent="0.25">
      <c r="A503" s="2">
        <v>38534</v>
      </c>
      <c r="B503">
        <v>6</v>
      </c>
      <c r="C503" t="s">
        <v>136</v>
      </c>
      <c r="D503">
        <v>1</v>
      </c>
      <c r="E503" t="s">
        <v>56</v>
      </c>
      <c r="F503">
        <v>1</v>
      </c>
      <c r="G503" t="s">
        <v>57</v>
      </c>
      <c r="H503" t="s">
        <v>76</v>
      </c>
      <c r="I503" t="s">
        <v>59</v>
      </c>
      <c r="J503" t="s">
        <v>32</v>
      </c>
      <c r="K503">
        <v>38</v>
      </c>
    </row>
    <row r="504" spans="1:11" x14ac:dyDescent="0.25">
      <c r="A504" s="2">
        <v>38534</v>
      </c>
      <c r="B504">
        <v>6</v>
      </c>
      <c r="C504" t="s">
        <v>136</v>
      </c>
      <c r="D504">
        <v>1</v>
      </c>
      <c r="E504" t="s">
        <v>56</v>
      </c>
      <c r="F504">
        <v>2</v>
      </c>
      <c r="G504" t="s">
        <v>60</v>
      </c>
      <c r="H504" t="s">
        <v>76</v>
      </c>
      <c r="I504" t="s">
        <v>59</v>
      </c>
      <c r="J504" t="s">
        <v>32</v>
      </c>
      <c r="K504">
        <v>30</v>
      </c>
    </row>
    <row r="505" spans="1:11" x14ac:dyDescent="0.25">
      <c r="A505" s="2">
        <v>38534</v>
      </c>
      <c r="B505">
        <v>6</v>
      </c>
      <c r="C505" t="s">
        <v>136</v>
      </c>
      <c r="D505">
        <v>1</v>
      </c>
      <c r="E505" t="s">
        <v>56</v>
      </c>
      <c r="F505">
        <v>2</v>
      </c>
      <c r="G505" t="s">
        <v>60</v>
      </c>
      <c r="H505" t="s">
        <v>77</v>
      </c>
      <c r="I505" t="s">
        <v>59</v>
      </c>
      <c r="J505" t="s">
        <v>32</v>
      </c>
      <c r="K505">
        <v>100</v>
      </c>
    </row>
    <row r="506" spans="1:11" x14ac:dyDescent="0.25">
      <c r="A506" s="2">
        <v>38534</v>
      </c>
      <c r="B506">
        <v>6</v>
      </c>
      <c r="C506" t="s">
        <v>136</v>
      </c>
      <c r="D506">
        <v>1</v>
      </c>
      <c r="E506" t="s">
        <v>56</v>
      </c>
      <c r="F506">
        <v>1</v>
      </c>
      <c r="G506" t="s">
        <v>57</v>
      </c>
      <c r="H506" t="s">
        <v>77</v>
      </c>
      <c r="I506" t="s">
        <v>59</v>
      </c>
      <c r="J506" t="s">
        <v>32</v>
      </c>
      <c r="K506">
        <v>133</v>
      </c>
    </row>
    <row r="507" spans="1:11" x14ac:dyDescent="0.25">
      <c r="A507" s="2">
        <v>38534</v>
      </c>
      <c r="B507">
        <v>6</v>
      </c>
      <c r="C507" t="s">
        <v>136</v>
      </c>
      <c r="D507">
        <v>1</v>
      </c>
      <c r="E507" t="s">
        <v>56</v>
      </c>
      <c r="F507">
        <v>1</v>
      </c>
      <c r="G507" t="s">
        <v>57</v>
      </c>
      <c r="H507" t="s">
        <v>78</v>
      </c>
      <c r="I507" t="s">
        <v>59</v>
      </c>
      <c r="J507" t="s">
        <v>32</v>
      </c>
      <c r="K507">
        <v>118</v>
      </c>
    </row>
    <row r="508" spans="1:11" x14ac:dyDescent="0.25">
      <c r="A508" s="2">
        <v>38534</v>
      </c>
      <c r="B508">
        <v>6</v>
      </c>
      <c r="C508" t="s">
        <v>136</v>
      </c>
      <c r="D508">
        <v>1</v>
      </c>
      <c r="E508" t="s">
        <v>56</v>
      </c>
      <c r="F508">
        <v>2</v>
      </c>
      <c r="G508" t="s">
        <v>60</v>
      </c>
      <c r="H508" t="s">
        <v>78</v>
      </c>
      <c r="I508" t="s">
        <v>59</v>
      </c>
      <c r="J508" t="s">
        <v>32</v>
      </c>
      <c r="K508">
        <v>100</v>
      </c>
    </row>
    <row r="509" spans="1:11" x14ac:dyDescent="0.25">
      <c r="A509" s="2">
        <v>38534</v>
      </c>
      <c r="B509">
        <v>6</v>
      </c>
      <c r="C509" t="s">
        <v>136</v>
      </c>
      <c r="D509">
        <v>1</v>
      </c>
      <c r="E509" t="s">
        <v>56</v>
      </c>
      <c r="F509">
        <v>2</v>
      </c>
      <c r="G509" t="s">
        <v>60</v>
      </c>
      <c r="H509" t="s">
        <v>79</v>
      </c>
      <c r="I509" t="s">
        <v>59</v>
      </c>
      <c r="J509" t="s">
        <v>32</v>
      </c>
      <c r="K509">
        <v>90</v>
      </c>
    </row>
    <row r="510" spans="1:11" x14ac:dyDescent="0.25">
      <c r="A510" s="2">
        <v>38534</v>
      </c>
      <c r="B510">
        <v>6</v>
      </c>
      <c r="C510" t="s">
        <v>136</v>
      </c>
      <c r="D510">
        <v>1</v>
      </c>
      <c r="E510" t="s">
        <v>56</v>
      </c>
      <c r="F510">
        <v>1</v>
      </c>
      <c r="G510" t="s">
        <v>57</v>
      </c>
      <c r="H510" t="s">
        <v>79</v>
      </c>
      <c r="I510" t="s">
        <v>59</v>
      </c>
      <c r="J510" t="s">
        <v>32</v>
      </c>
      <c r="K510">
        <v>106</v>
      </c>
    </row>
    <row r="511" spans="1:11" x14ac:dyDescent="0.25">
      <c r="A511" s="2">
        <v>38534</v>
      </c>
      <c r="B511">
        <v>6</v>
      </c>
      <c r="C511" t="s">
        <v>136</v>
      </c>
      <c r="D511">
        <v>1</v>
      </c>
      <c r="E511" t="s">
        <v>56</v>
      </c>
      <c r="F511">
        <v>1</v>
      </c>
      <c r="G511" t="s">
        <v>57</v>
      </c>
      <c r="H511" t="s">
        <v>80</v>
      </c>
      <c r="I511" t="s">
        <v>59</v>
      </c>
      <c r="J511" t="s">
        <v>32</v>
      </c>
      <c r="K511">
        <v>468</v>
      </c>
    </row>
    <row r="512" spans="1:11" x14ac:dyDescent="0.25">
      <c r="A512" s="2">
        <v>38534</v>
      </c>
      <c r="B512">
        <v>6</v>
      </c>
      <c r="C512" t="s">
        <v>136</v>
      </c>
      <c r="D512">
        <v>1</v>
      </c>
      <c r="E512" t="s">
        <v>56</v>
      </c>
      <c r="F512">
        <v>2</v>
      </c>
      <c r="G512" t="s">
        <v>60</v>
      </c>
      <c r="H512" t="s">
        <v>80</v>
      </c>
      <c r="I512" t="s">
        <v>59</v>
      </c>
      <c r="J512" t="s">
        <v>32</v>
      </c>
      <c r="K512">
        <v>480</v>
      </c>
    </row>
    <row r="513" spans="1:11" x14ac:dyDescent="0.25">
      <c r="A513" s="2">
        <v>38534</v>
      </c>
      <c r="B513">
        <v>6</v>
      </c>
      <c r="C513" t="s">
        <v>136</v>
      </c>
      <c r="D513">
        <v>1</v>
      </c>
      <c r="E513" t="s">
        <v>56</v>
      </c>
      <c r="F513">
        <v>1</v>
      </c>
      <c r="G513" t="s">
        <v>57</v>
      </c>
      <c r="H513" t="s">
        <v>81</v>
      </c>
      <c r="I513" t="s">
        <v>82</v>
      </c>
      <c r="J513" t="s">
        <v>32</v>
      </c>
      <c r="K513">
        <v>177</v>
      </c>
    </row>
    <row r="514" spans="1:11" x14ac:dyDescent="0.25">
      <c r="A514" s="2">
        <v>38534</v>
      </c>
      <c r="B514">
        <v>6</v>
      </c>
      <c r="C514" t="s">
        <v>136</v>
      </c>
      <c r="D514">
        <v>1</v>
      </c>
      <c r="E514" t="s">
        <v>56</v>
      </c>
      <c r="F514">
        <v>1</v>
      </c>
      <c r="G514" t="s">
        <v>57</v>
      </c>
      <c r="H514" t="s">
        <v>83</v>
      </c>
      <c r="I514" t="s">
        <v>59</v>
      </c>
      <c r="J514" t="s">
        <v>32</v>
      </c>
      <c r="K514">
        <v>273</v>
      </c>
    </row>
    <row r="515" spans="1:11" x14ac:dyDescent="0.25">
      <c r="A515" s="2">
        <v>38534</v>
      </c>
      <c r="B515">
        <v>6</v>
      </c>
      <c r="C515" t="s">
        <v>136</v>
      </c>
      <c r="D515">
        <v>1</v>
      </c>
      <c r="E515" t="s">
        <v>56</v>
      </c>
      <c r="F515">
        <v>1</v>
      </c>
      <c r="G515" t="s">
        <v>57</v>
      </c>
      <c r="H515" t="s">
        <v>84</v>
      </c>
      <c r="I515" t="s">
        <v>82</v>
      </c>
      <c r="J515" t="s">
        <v>32</v>
      </c>
      <c r="K515">
        <v>-218</v>
      </c>
    </row>
    <row r="516" spans="1:11" x14ac:dyDescent="0.25">
      <c r="A516" s="2">
        <v>38534</v>
      </c>
      <c r="B516">
        <v>6</v>
      </c>
      <c r="C516" t="s">
        <v>136</v>
      </c>
      <c r="D516">
        <v>1</v>
      </c>
      <c r="E516" t="s">
        <v>56</v>
      </c>
      <c r="F516">
        <v>1</v>
      </c>
      <c r="G516" t="s">
        <v>57</v>
      </c>
      <c r="H516" t="s">
        <v>85</v>
      </c>
      <c r="I516" t="s">
        <v>82</v>
      </c>
      <c r="J516" t="s">
        <v>32</v>
      </c>
      <c r="K516">
        <v>364</v>
      </c>
    </row>
    <row r="517" spans="1:11" x14ac:dyDescent="0.25">
      <c r="A517" s="2">
        <v>38534</v>
      </c>
      <c r="B517">
        <v>6</v>
      </c>
      <c r="C517" t="s">
        <v>136</v>
      </c>
      <c r="D517">
        <v>1</v>
      </c>
      <c r="E517" t="s">
        <v>56</v>
      </c>
      <c r="F517">
        <v>1</v>
      </c>
      <c r="G517" t="s">
        <v>57</v>
      </c>
      <c r="H517" t="s">
        <v>86</v>
      </c>
      <c r="I517" t="s">
        <v>59</v>
      </c>
      <c r="J517" t="s">
        <v>32</v>
      </c>
      <c r="K517">
        <v>82</v>
      </c>
    </row>
    <row r="518" spans="1:11" x14ac:dyDescent="0.25">
      <c r="A518" s="2">
        <v>38534</v>
      </c>
      <c r="B518">
        <v>6</v>
      </c>
      <c r="C518" t="s">
        <v>136</v>
      </c>
      <c r="D518">
        <v>1</v>
      </c>
      <c r="E518" t="s">
        <v>56</v>
      </c>
      <c r="F518">
        <v>1</v>
      </c>
      <c r="G518" t="s">
        <v>57</v>
      </c>
      <c r="H518" t="s">
        <v>87</v>
      </c>
      <c r="I518" t="s">
        <v>88</v>
      </c>
      <c r="J518" t="s">
        <v>89</v>
      </c>
      <c r="K518">
        <v>8</v>
      </c>
    </row>
    <row r="519" spans="1:11" x14ac:dyDescent="0.25">
      <c r="A519" s="2">
        <v>38534</v>
      </c>
      <c r="B519">
        <v>6</v>
      </c>
      <c r="C519" t="s">
        <v>136</v>
      </c>
      <c r="D519">
        <v>2</v>
      </c>
      <c r="E519" t="s">
        <v>90</v>
      </c>
      <c r="F519">
        <v>1</v>
      </c>
      <c r="G519" t="s">
        <v>57</v>
      </c>
      <c r="H519" t="s">
        <v>91</v>
      </c>
      <c r="I519" t="s">
        <v>92</v>
      </c>
      <c r="J519" t="s">
        <v>32</v>
      </c>
      <c r="K519">
        <v>38012</v>
      </c>
    </row>
    <row r="520" spans="1:11" x14ac:dyDescent="0.25">
      <c r="A520" s="2">
        <v>38534</v>
      </c>
      <c r="B520">
        <v>6</v>
      </c>
      <c r="C520" t="s">
        <v>136</v>
      </c>
      <c r="D520">
        <v>2</v>
      </c>
      <c r="E520" t="s">
        <v>90</v>
      </c>
      <c r="F520">
        <v>1</v>
      </c>
      <c r="G520" t="s">
        <v>57</v>
      </c>
      <c r="H520" t="s">
        <v>58</v>
      </c>
      <c r="I520" t="s">
        <v>59</v>
      </c>
      <c r="J520" t="s">
        <v>32</v>
      </c>
      <c r="K520">
        <v>7800</v>
      </c>
    </row>
    <row r="521" spans="1:11" x14ac:dyDescent="0.25">
      <c r="A521" s="2">
        <v>38534</v>
      </c>
      <c r="B521">
        <v>6</v>
      </c>
      <c r="C521" t="s">
        <v>136</v>
      </c>
      <c r="D521">
        <v>2</v>
      </c>
      <c r="E521" t="s">
        <v>90</v>
      </c>
      <c r="F521">
        <v>2</v>
      </c>
      <c r="G521" t="s">
        <v>60</v>
      </c>
      <c r="H521" t="s">
        <v>58</v>
      </c>
      <c r="I521" t="s">
        <v>59</v>
      </c>
      <c r="J521" t="s">
        <v>32</v>
      </c>
      <c r="K521">
        <v>6600</v>
      </c>
    </row>
    <row r="522" spans="1:11" x14ac:dyDescent="0.25">
      <c r="A522" s="2">
        <v>38534</v>
      </c>
      <c r="B522">
        <v>6</v>
      </c>
      <c r="C522" t="s">
        <v>136</v>
      </c>
      <c r="D522">
        <v>2</v>
      </c>
      <c r="E522" t="s">
        <v>90</v>
      </c>
      <c r="F522">
        <v>2</v>
      </c>
      <c r="G522" t="s">
        <v>60</v>
      </c>
      <c r="H522" t="s">
        <v>61</v>
      </c>
      <c r="I522" t="s">
        <v>59</v>
      </c>
      <c r="J522" t="s">
        <v>32</v>
      </c>
      <c r="K522">
        <v>550</v>
      </c>
    </row>
    <row r="523" spans="1:11" x14ac:dyDescent="0.25">
      <c r="A523" s="2">
        <v>38534</v>
      </c>
      <c r="B523">
        <v>6</v>
      </c>
      <c r="C523" t="s">
        <v>136</v>
      </c>
      <c r="D523">
        <v>2</v>
      </c>
      <c r="E523" t="s">
        <v>90</v>
      </c>
      <c r="F523">
        <v>1</v>
      </c>
      <c r="G523" t="s">
        <v>57</v>
      </c>
      <c r="H523" t="s">
        <v>61</v>
      </c>
      <c r="I523" t="s">
        <v>59</v>
      </c>
      <c r="J523" t="s">
        <v>32</v>
      </c>
      <c r="K523">
        <v>624</v>
      </c>
    </row>
    <row r="524" spans="1:11" x14ac:dyDescent="0.25">
      <c r="A524" s="2">
        <v>38534</v>
      </c>
      <c r="B524">
        <v>6</v>
      </c>
      <c r="C524" t="s">
        <v>136</v>
      </c>
      <c r="D524">
        <v>2</v>
      </c>
      <c r="E524" t="s">
        <v>90</v>
      </c>
      <c r="F524">
        <v>1</v>
      </c>
      <c r="G524" t="s">
        <v>57</v>
      </c>
      <c r="H524" t="s">
        <v>62</v>
      </c>
      <c r="I524" t="s">
        <v>59</v>
      </c>
      <c r="J524" t="s">
        <v>32</v>
      </c>
      <c r="K524">
        <v>780</v>
      </c>
    </row>
    <row r="525" spans="1:11" x14ac:dyDescent="0.25">
      <c r="A525" s="2">
        <v>38534</v>
      </c>
      <c r="B525">
        <v>6</v>
      </c>
      <c r="C525" t="s">
        <v>136</v>
      </c>
      <c r="D525">
        <v>2</v>
      </c>
      <c r="E525" t="s">
        <v>90</v>
      </c>
      <c r="F525">
        <v>2</v>
      </c>
      <c r="G525" t="s">
        <v>60</v>
      </c>
      <c r="H525" t="s">
        <v>62</v>
      </c>
      <c r="I525" t="s">
        <v>59</v>
      </c>
      <c r="J525" t="s">
        <v>32</v>
      </c>
      <c r="K525">
        <v>480</v>
      </c>
    </row>
    <row r="526" spans="1:11" x14ac:dyDescent="0.25">
      <c r="A526" s="2">
        <v>38534</v>
      </c>
      <c r="B526">
        <v>6</v>
      </c>
      <c r="C526" t="s">
        <v>136</v>
      </c>
      <c r="D526">
        <v>2</v>
      </c>
      <c r="E526" t="s">
        <v>90</v>
      </c>
      <c r="F526">
        <v>2</v>
      </c>
      <c r="G526" t="s">
        <v>60</v>
      </c>
      <c r="H526" t="s">
        <v>63</v>
      </c>
      <c r="I526" t="s">
        <v>59</v>
      </c>
      <c r="J526" t="s">
        <v>32</v>
      </c>
      <c r="K526">
        <v>100</v>
      </c>
    </row>
    <row r="527" spans="1:11" x14ac:dyDescent="0.25">
      <c r="A527" s="2">
        <v>38534</v>
      </c>
      <c r="B527">
        <v>6</v>
      </c>
      <c r="C527" t="s">
        <v>136</v>
      </c>
      <c r="D527">
        <v>2</v>
      </c>
      <c r="E527" t="s">
        <v>90</v>
      </c>
      <c r="F527">
        <v>1</v>
      </c>
      <c r="G527" t="s">
        <v>57</v>
      </c>
      <c r="H527" t="s">
        <v>63</v>
      </c>
      <c r="I527" t="s">
        <v>59</v>
      </c>
      <c r="J527" t="s">
        <v>32</v>
      </c>
      <c r="K527">
        <v>164</v>
      </c>
    </row>
    <row r="528" spans="1:11" x14ac:dyDescent="0.25">
      <c r="A528" s="2">
        <v>38534</v>
      </c>
      <c r="B528">
        <v>6</v>
      </c>
      <c r="C528" t="s">
        <v>136</v>
      </c>
      <c r="D528">
        <v>2</v>
      </c>
      <c r="E528" t="s">
        <v>90</v>
      </c>
      <c r="F528">
        <v>1</v>
      </c>
      <c r="G528" t="s">
        <v>57</v>
      </c>
      <c r="H528" t="s">
        <v>64</v>
      </c>
      <c r="I528" t="s">
        <v>59</v>
      </c>
      <c r="J528" t="s">
        <v>32</v>
      </c>
      <c r="K528">
        <v>149</v>
      </c>
    </row>
    <row r="529" spans="1:11" x14ac:dyDescent="0.25">
      <c r="A529" s="2">
        <v>38534</v>
      </c>
      <c r="B529">
        <v>6</v>
      </c>
      <c r="C529" t="s">
        <v>136</v>
      </c>
      <c r="D529">
        <v>2</v>
      </c>
      <c r="E529" t="s">
        <v>90</v>
      </c>
      <c r="F529">
        <v>2</v>
      </c>
      <c r="G529" t="s">
        <v>60</v>
      </c>
      <c r="H529" t="s">
        <v>64</v>
      </c>
      <c r="I529" t="s">
        <v>59</v>
      </c>
      <c r="J529" t="s">
        <v>32</v>
      </c>
      <c r="K529">
        <v>100</v>
      </c>
    </row>
    <row r="530" spans="1:11" x14ac:dyDescent="0.25">
      <c r="A530" s="2">
        <v>38534</v>
      </c>
      <c r="B530">
        <v>6</v>
      </c>
      <c r="C530" t="s">
        <v>136</v>
      </c>
      <c r="D530">
        <v>2</v>
      </c>
      <c r="E530" t="s">
        <v>90</v>
      </c>
      <c r="F530">
        <v>2</v>
      </c>
      <c r="G530" t="s">
        <v>60</v>
      </c>
      <c r="H530" t="s">
        <v>65</v>
      </c>
      <c r="I530" t="s">
        <v>59</v>
      </c>
      <c r="J530" t="s">
        <v>32</v>
      </c>
      <c r="K530">
        <v>60</v>
      </c>
    </row>
    <row r="531" spans="1:11" x14ac:dyDescent="0.25">
      <c r="A531" s="2">
        <v>38534</v>
      </c>
      <c r="B531">
        <v>6</v>
      </c>
      <c r="C531" t="s">
        <v>136</v>
      </c>
      <c r="D531">
        <v>2</v>
      </c>
      <c r="E531" t="s">
        <v>90</v>
      </c>
      <c r="F531">
        <v>1</v>
      </c>
      <c r="G531" t="s">
        <v>57</v>
      </c>
      <c r="H531" t="s">
        <v>65</v>
      </c>
      <c r="I531" t="s">
        <v>59</v>
      </c>
      <c r="J531" t="s">
        <v>32</v>
      </c>
      <c r="K531">
        <v>74</v>
      </c>
    </row>
    <row r="532" spans="1:11" x14ac:dyDescent="0.25">
      <c r="A532" s="2">
        <v>38534</v>
      </c>
      <c r="B532">
        <v>6</v>
      </c>
      <c r="C532" t="s">
        <v>136</v>
      </c>
      <c r="D532">
        <v>2</v>
      </c>
      <c r="E532" t="s">
        <v>90</v>
      </c>
      <c r="F532">
        <v>1</v>
      </c>
      <c r="G532" t="s">
        <v>57</v>
      </c>
      <c r="H532" t="s">
        <v>66</v>
      </c>
      <c r="I532" t="s">
        <v>59</v>
      </c>
      <c r="J532" t="s">
        <v>32</v>
      </c>
      <c r="K532">
        <v>55</v>
      </c>
    </row>
    <row r="533" spans="1:11" x14ac:dyDescent="0.25">
      <c r="A533" s="2">
        <v>38534</v>
      </c>
      <c r="B533">
        <v>6</v>
      </c>
      <c r="C533" t="s">
        <v>136</v>
      </c>
      <c r="D533">
        <v>2</v>
      </c>
      <c r="E533" t="s">
        <v>90</v>
      </c>
      <c r="F533">
        <v>2</v>
      </c>
      <c r="G533" t="s">
        <v>60</v>
      </c>
      <c r="H533" t="s">
        <v>66</v>
      </c>
      <c r="I533" t="s">
        <v>59</v>
      </c>
      <c r="J533" t="s">
        <v>32</v>
      </c>
      <c r="K533">
        <v>40</v>
      </c>
    </row>
    <row r="534" spans="1:11" x14ac:dyDescent="0.25">
      <c r="A534" s="2">
        <v>38534</v>
      </c>
      <c r="B534">
        <v>6</v>
      </c>
      <c r="C534" t="s">
        <v>136</v>
      </c>
      <c r="D534">
        <v>2</v>
      </c>
      <c r="E534" t="s">
        <v>90</v>
      </c>
      <c r="F534">
        <v>1</v>
      </c>
      <c r="G534" t="s">
        <v>57</v>
      </c>
      <c r="H534" t="s">
        <v>67</v>
      </c>
      <c r="I534" t="s">
        <v>59</v>
      </c>
      <c r="J534" t="s">
        <v>32</v>
      </c>
      <c r="K534">
        <v>16</v>
      </c>
    </row>
    <row r="535" spans="1:11" x14ac:dyDescent="0.25">
      <c r="A535" s="2">
        <v>38534</v>
      </c>
      <c r="B535">
        <v>6</v>
      </c>
      <c r="C535" t="s">
        <v>136</v>
      </c>
      <c r="D535">
        <v>2</v>
      </c>
      <c r="E535" t="s">
        <v>90</v>
      </c>
      <c r="F535">
        <v>1</v>
      </c>
      <c r="G535" t="s">
        <v>57</v>
      </c>
      <c r="H535" t="s">
        <v>68</v>
      </c>
      <c r="I535" t="s">
        <v>59</v>
      </c>
      <c r="J535" t="s">
        <v>32</v>
      </c>
      <c r="K535">
        <v>16</v>
      </c>
    </row>
    <row r="536" spans="1:11" x14ac:dyDescent="0.25">
      <c r="A536" s="2">
        <v>38534</v>
      </c>
      <c r="B536">
        <v>6</v>
      </c>
      <c r="C536" t="s">
        <v>136</v>
      </c>
      <c r="D536">
        <v>2</v>
      </c>
      <c r="E536" t="s">
        <v>90</v>
      </c>
      <c r="F536">
        <v>2</v>
      </c>
      <c r="G536" t="s">
        <v>60</v>
      </c>
      <c r="H536" t="s">
        <v>68</v>
      </c>
      <c r="I536" t="s">
        <v>59</v>
      </c>
      <c r="J536" t="s">
        <v>32</v>
      </c>
      <c r="K536">
        <v>30</v>
      </c>
    </row>
    <row r="537" spans="1:11" x14ac:dyDescent="0.25">
      <c r="A537" s="2">
        <v>38534</v>
      </c>
      <c r="B537">
        <v>6</v>
      </c>
      <c r="C537" t="s">
        <v>136</v>
      </c>
      <c r="D537">
        <v>2</v>
      </c>
      <c r="E537" t="s">
        <v>90</v>
      </c>
      <c r="F537">
        <v>2</v>
      </c>
      <c r="G537" t="s">
        <v>60</v>
      </c>
      <c r="H537" t="s">
        <v>69</v>
      </c>
      <c r="I537" t="s">
        <v>59</v>
      </c>
      <c r="J537" t="s">
        <v>32</v>
      </c>
      <c r="K537">
        <v>100</v>
      </c>
    </row>
    <row r="538" spans="1:11" x14ac:dyDescent="0.25">
      <c r="A538" s="2">
        <v>38534</v>
      </c>
      <c r="B538">
        <v>6</v>
      </c>
      <c r="C538" t="s">
        <v>136</v>
      </c>
      <c r="D538">
        <v>2</v>
      </c>
      <c r="E538" t="s">
        <v>90</v>
      </c>
      <c r="F538">
        <v>1</v>
      </c>
      <c r="G538" t="s">
        <v>57</v>
      </c>
      <c r="H538" t="s">
        <v>69</v>
      </c>
      <c r="I538" t="s">
        <v>59</v>
      </c>
      <c r="J538" t="s">
        <v>32</v>
      </c>
      <c r="K538">
        <v>96</v>
      </c>
    </row>
    <row r="539" spans="1:11" x14ac:dyDescent="0.25">
      <c r="A539" s="2">
        <v>38534</v>
      </c>
      <c r="B539">
        <v>6</v>
      </c>
      <c r="C539" t="s">
        <v>136</v>
      </c>
      <c r="D539">
        <v>2</v>
      </c>
      <c r="E539" t="s">
        <v>90</v>
      </c>
      <c r="F539">
        <v>1</v>
      </c>
      <c r="G539" t="s">
        <v>57</v>
      </c>
      <c r="H539" t="s">
        <v>70</v>
      </c>
      <c r="I539" t="s">
        <v>59</v>
      </c>
      <c r="J539" t="s">
        <v>32</v>
      </c>
      <c r="K539">
        <v>160</v>
      </c>
    </row>
    <row r="540" spans="1:11" x14ac:dyDescent="0.25">
      <c r="A540" s="2">
        <v>38534</v>
      </c>
      <c r="B540">
        <v>6</v>
      </c>
      <c r="C540" t="s">
        <v>136</v>
      </c>
      <c r="D540">
        <v>2</v>
      </c>
      <c r="E540" t="s">
        <v>90</v>
      </c>
      <c r="F540">
        <v>2</v>
      </c>
      <c r="G540" t="s">
        <v>60</v>
      </c>
      <c r="H540" t="s">
        <v>70</v>
      </c>
      <c r="I540" t="s">
        <v>59</v>
      </c>
      <c r="J540" t="s">
        <v>32</v>
      </c>
      <c r="K540">
        <v>100</v>
      </c>
    </row>
    <row r="541" spans="1:11" x14ac:dyDescent="0.25">
      <c r="A541" s="2">
        <v>38534</v>
      </c>
      <c r="B541">
        <v>6</v>
      </c>
      <c r="C541" t="s">
        <v>136</v>
      </c>
      <c r="D541">
        <v>2</v>
      </c>
      <c r="E541" t="s">
        <v>90</v>
      </c>
      <c r="F541">
        <v>2</v>
      </c>
      <c r="G541" t="s">
        <v>60</v>
      </c>
      <c r="H541" t="s">
        <v>71</v>
      </c>
      <c r="I541" t="s">
        <v>59</v>
      </c>
      <c r="J541" t="s">
        <v>32</v>
      </c>
      <c r="K541">
        <v>90</v>
      </c>
    </row>
    <row r="542" spans="1:11" x14ac:dyDescent="0.25">
      <c r="A542" s="2">
        <v>38534</v>
      </c>
      <c r="B542">
        <v>6</v>
      </c>
      <c r="C542" t="s">
        <v>136</v>
      </c>
      <c r="D542">
        <v>2</v>
      </c>
      <c r="E542" t="s">
        <v>90</v>
      </c>
      <c r="F542">
        <v>1</v>
      </c>
      <c r="G542" t="s">
        <v>57</v>
      </c>
      <c r="H542" t="s">
        <v>71</v>
      </c>
      <c r="I542" t="s">
        <v>59</v>
      </c>
      <c r="J542" t="s">
        <v>32</v>
      </c>
      <c r="K542">
        <v>105</v>
      </c>
    </row>
    <row r="543" spans="1:11" x14ac:dyDescent="0.25">
      <c r="A543" s="2">
        <v>38534</v>
      </c>
      <c r="B543">
        <v>6</v>
      </c>
      <c r="C543" t="s">
        <v>136</v>
      </c>
      <c r="D543">
        <v>2</v>
      </c>
      <c r="E543" t="s">
        <v>90</v>
      </c>
      <c r="F543">
        <v>1</v>
      </c>
      <c r="G543" t="s">
        <v>57</v>
      </c>
      <c r="H543" t="s">
        <v>72</v>
      </c>
      <c r="I543" t="s">
        <v>59</v>
      </c>
      <c r="J543" t="s">
        <v>32</v>
      </c>
      <c r="K543">
        <v>189</v>
      </c>
    </row>
    <row r="544" spans="1:11" x14ac:dyDescent="0.25">
      <c r="A544" s="2">
        <v>38534</v>
      </c>
      <c r="B544">
        <v>6</v>
      </c>
      <c r="C544" t="s">
        <v>136</v>
      </c>
      <c r="D544">
        <v>2</v>
      </c>
      <c r="E544" t="s">
        <v>90</v>
      </c>
      <c r="F544">
        <v>2</v>
      </c>
      <c r="G544" t="s">
        <v>60</v>
      </c>
      <c r="H544" t="s">
        <v>72</v>
      </c>
      <c r="I544" t="s">
        <v>59</v>
      </c>
      <c r="J544" t="s">
        <v>32</v>
      </c>
      <c r="K544">
        <v>200</v>
      </c>
    </row>
    <row r="545" spans="1:11" x14ac:dyDescent="0.25">
      <c r="A545" s="2">
        <v>38534</v>
      </c>
      <c r="B545">
        <v>6</v>
      </c>
      <c r="C545" t="s">
        <v>136</v>
      </c>
      <c r="D545">
        <v>2</v>
      </c>
      <c r="E545" t="s">
        <v>90</v>
      </c>
      <c r="F545">
        <v>2</v>
      </c>
      <c r="G545" t="s">
        <v>60</v>
      </c>
      <c r="H545" t="s">
        <v>73</v>
      </c>
      <c r="I545" t="s">
        <v>59</v>
      </c>
      <c r="J545" t="s">
        <v>32</v>
      </c>
      <c r="K545">
        <v>50</v>
      </c>
    </row>
    <row r="546" spans="1:11" x14ac:dyDescent="0.25">
      <c r="A546" s="2">
        <v>38534</v>
      </c>
      <c r="B546">
        <v>6</v>
      </c>
      <c r="C546" t="s">
        <v>136</v>
      </c>
      <c r="D546">
        <v>2</v>
      </c>
      <c r="E546" t="s">
        <v>90</v>
      </c>
      <c r="F546">
        <v>1</v>
      </c>
      <c r="G546" t="s">
        <v>57</v>
      </c>
      <c r="H546" t="s">
        <v>73</v>
      </c>
      <c r="I546" t="s">
        <v>59</v>
      </c>
      <c r="J546" t="s">
        <v>32</v>
      </c>
      <c r="K546">
        <v>61</v>
      </c>
    </row>
    <row r="547" spans="1:11" x14ac:dyDescent="0.25">
      <c r="A547" s="2">
        <v>38534</v>
      </c>
      <c r="B547">
        <v>6</v>
      </c>
      <c r="C547" t="s">
        <v>136</v>
      </c>
      <c r="D547">
        <v>2</v>
      </c>
      <c r="E547" t="s">
        <v>90</v>
      </c>
      <c r="F547">
        <v>1</v>
      </c>
      <c r="G547" t="s">
        <v>57</v>
      </c>
      <c r="H547" t="s">
        <v>74</v>
      </c>
      <c r="I547" t="s">
        <v>59</v>
      </c>
      <c r="J547" t="s">
        <v>32</v>
      </c>
      <c r="K547">
        <v>209</v>
      </c>
    </row>
    <row r="548" spans="1:11" x14ac:dyDescent="0.25">
      <c r="A548" s="2">
        <v>38534</v>
      </c>
      <c r="B548">
        <v>6</v>
      </c>
      <c r="C548" t="s">
        <v>136</v>
      </c>
      <c r="D548">
        <v>2</v>
      </c>
      <c r="E548" t="s">
        <v>90</v>
      </c>
      <c r="F548">
        <v>2</v>
      </c>
      <c r="G548" t="s">
        <v>60</v>
      </c>
      <c r="H548" t="s">
        <v>74</v>
      </c>
      <c r="I548" t="s">
        <v>59</v>
      </c>
      <c r="J548" t="s">
        <v>32</v>
      </c>
      <c r="K548">
        <v>200</v>
      </c>
    </row>
    <row r="549" spans="1:11" x14ac:dyDescent="0.25">
      <c r="A549" s="2">
        <v>38534</v>
      </c>
      <c r="B549">
        <v>6</v>
      </c>
      <c r="C549" t="s">
        <v>136</v>
      </c>
      <c r="D549">
        <v>2</v>
      </c>
      <c r="E549" t="s">
        <v>90</v>
      </c>
      <c r="F549">
        <v>2</v>
      </c>
      <c r="G549" t="s">
        <v>60</v>
      </c>
      <c r="H549" t="s">
        <v>75</v>
      </c>
      <c r="I549" t="s">
        <v>59</v>
      </c>
      <c r="J549" t="s">
        <v>32</v>
      </c>
      <c r="K549">
        <v>100</v>
      </c>
    </row>
    <row r="550" spans="1:11" x14ac:dyDescent="0.25">
      <c r="A550" s="2">
        <v>38534</v>
      </c>
      <c r="B550">
        <v>6</v>
      </c>
      <c r="C550" t="s">
        <v>136</v>
      </c>
      <c r="D550">
        <v>2</v>
      </c>
      <c r="E550" t="s">
        <v>90</v>
      </c>
      <c r="F550">
        <v>1</v>
      </c>
      <c r="G550" t="s">
        <v>57</v>
      </c>
      <c r="H550" t="s">
        <v>75</v>
      </c>
      <c r="I550" t="s">
        <v>59</v>
      </c>
      <c r="J550" t="s">
        <v>32</v>
      </c>
      <c r="K550">
        <v>129</v>
      </c>
    </row>
    <row r="551" spans="1:11" x14ac:dyDescent="0.25">
      <c r="A551" s="2">
        <v>38534</v>
      </c>
      <c r="B551">
        <v>6</v>
      </c>
      <c r="C551" t="s">
        <v>136</v>
      </c>
      <c r="D551">
        <v>2</v>
      </c>
      <c r="E551" t="s">
        <v>90</v>
      </c>
      <c r="F551">
        <v>1</v>
      </c>
      <c r="G551" t="s">
        <v>57</v>
      </c>
      <c r="H551" t="s">
        <v>76</v>
      </c>
      <c r="I551" t="s">
        <v>59</v>
      </c>
      <c r="J551" t="s">
        <v>32</v>
      </c>
      <c r="K551">
        <v>13</v>
      </c>
    </row>
    <row r="552" spans="1:11" x14ac:dyDescent="0.25">
      <c r="A552" s="2">
        <v>38534</v>
      </c>
      <c r="B552">
        <v>6</v>
      </c>
      <c r="C552" t="s">
        <v>136</v>
      </c>
      <c r="D552">
        <v>2</v>
      </c>
      <c r="E552" t="s">
        <v>90</v>
      </c>
      <c r="F552">
        <v>2</v>
      </c>
      <c r="G552" t="s">
        <v>60</v>
      </c>
      <c r="H552" t="s">
        <v>76</v>
      </c>
      <c r="I552" t="s">
        <v>59</v>
      </c>
      <c r="J552" t="s">
        <v>32</v>
      </c>
      <c r="K552">
        <v>10</v>
      </c>
    </row>
    <row r="553" spans="1:11" x14ac:dyDescent="0.25">
      <c r="A553" s="2">
        <v>38534</v>
      </c>
      <c r="B553">
        <v>6</v>
      </c>
      <c r="C553" t="s">
        <v>136</v>
      </c>
      <c r="D553">
        <v>2</v>
      </c>
      <c r="E553" t="s">
        <v>90</v>
      </c>
      <c r="F553">
        <v>2</v>
      </c>
      <c r="G553" t="s">
        <v>60</v>
      </c>
      <c r="H553" t="s">
        <v>77</v>
      </c>
      <c r="I553" t="s">
        <v>59</v>
      </c>
      <c r="J553" t="s">
        <v>32</v>
      </c>
      <c r="K553">
        <v>40</v>
      </c>
    </row>
    <row r="554" spans="1:11" x14ac:dyDescent="0.25">
      <c r="A554" s="2">
        <v>38534</v>
      </c>
      <c r="B554">
        <v>6</v>
      </c>
      <c r="C554" t="s">
        <v>136</v>
      </c>
      <c r="D554">
        <v>2</v>
      </c>
      <c r="E554" t="s">
        <v>90</v>
      </c>
      <c r="F554">
        <v>1</v>
      </c>
      <c r="G554" t="s">
        <v>57</v>
      </c>
      <c r="H554" t="s">
        <v>77</v>
      </c>
      <c r="I554" t="s">
        <v>59</v>
      </c>
      <c r="J554" t="s">
        <v>32</v>
      </c>
      <c r="K554">
        <v>46</v>
      </c>
    </row>
    <row r="555" spans="1:11" x14ac:dyDescent="0.25">
      <c r="A555" s="2">
        <v>38534</v>
      </c>
      <c r="B555">
        <v>6</v>
      </c>
      <c r="C555" t="s">
        <v>136</v>
      </c>
      <c r="D555">
        <v>2</v>
      </c>
      <c r="E555" t="s">
        <v>90</v>
      </c>
      <c r="F555">
        <v>1</v>
      </c>
      <c r="G555" t="s">
        <v>57</v>
      </c>
      <c r="H555" t="s">
        <v>78</v>
      </c>
      <c r="I555" t="s">
        <v>59</v>
      </c>
      <c r="J555" t="s">
        <v>32</v>
      </c>
      <c r="K555">
        <v>40</v>
      </c>
    </row>
    <row r="556" spans="1:11" x14ac:dyDescent="0.25">
      <c r="A556" s="2">
        <v>38534</v>
      </c>
      <c r="B556">
        <v>6</v>
      </c>
      <c r="C556" t="s">
        <v>136</v>
      </c>
      <c r="D556">
        <v>2</v>
      </c>
      <c r="E556" t="s">
        <v>90</v>
      </c>
      <c r="F556">
        <v>2</v>
      </c>
      <c r="G556" t="s">
        <v>60</v>
      </c>
      <c r="H556" t="s">
        <v>78</v>
      </c>
      <c r="I556" t="s">
        <v>59</v>
      </c>
      <c r="J556" t="s">
        <v>32</v>
      </c>
      <c r="K556">
        <v>30</v>
      </c>
    </row>
    <row r="557" spans="1:11" x14ac:dyDescent="0.25">
      <c r="A557" s="2">
        <v>38534</v>
      </c>
      <c r="B557">
        <v>6</v>
      </c>
      <c r="C557" t="s">
        <v>136</v>
      </c>
      <c r="D557">
        <v>2</v>
      </c>
      <c r="E557" t="s">
        <v>90</v>
      </c>
      <c r="F557">
        <v>2</v>
      </c>
      <c r="G557" t="s">
        <v>60</v>
      </c>
      <c r="H557" t="s">
        <v>79</v>
      </c>
      <c r="I557" t="s">
        <v>59</v>
      </c>
      <c r="J557" t="s">
        <v>32</v>
      </c>
      <c r="K557">
        <v>30</v>
      </c>
    </row>
    <row r="558" spans="1:11" x14ac:dyDescent="0.25">
      <c r="A558" s="2">
        <v>38534</v>
      </c>
      <c r="B558">
        <v>6</v>
      </c>
      <c r="C558" t="s">
        <v>136</v>
      </c>
      <c r="D558">
        <v>2</v>
      </c>
      <c r="E558" t="s">
        <v>90</v>
      </c>
      <c r="F558">
        <v>1</v>
      </c>
      <c r="G558" t="s">
        <v>57</v>
      </c>
      <c r="H558" t="s">
        <v>79</v>
      </c>
      <c r="I558" t="s">
        <v>59</v>
      </c>
      <c r="J558" t="s">
        <v>32</v>
      </c>
      <c r="K558">
        <v>36</v>
      </c>
    </row>
    <row r="559" spans="1:11" x14ac:dyDescent="0.25">
      <c r="A559" s="2">
        <v>38534</v>
      </c>
      <c r="B559">
        <v>6</v>
      </c>
      <c r="C559" t="s">
        <v>136</v>
      </c>
      <c r="D559">
        <v>2</v>
      </c>
      <c r="E559" t="s">
        <v>90</v>
      </c>
      <c r="F559">
        <v>1</v>
      </c>
      <c r="G559" t="s">
        <v>57</v>
      </c>
      <c r="H559" t="s">
        <v>80</v>
      </c>
      <c r="I559" t="s">
        <v>59</v>
      </c>
      <c r="J559" t="s">
        <v>32</v>
      </c>
      <c r="K559">
        <v>176</v>
      </c>
    </row>
    <row r="560" spans="1:11" x14ac:dyDescent="0.25">
      <c r="A560" s="2">
        <v>38534</v>
      </c>
      <c r="B560">
        <v>6</v>
      </c>
      <c r="C560" t="s">
        <v>136</v>
      </c>
      <c r="D560">
        <v>2</v>
      </c>
      <c r="E560" t="s">
        <v>90</v>
      </c>
      <c r="F560">
        <v>2</v>
      </c>
      <c r="G560" t="s">
        <v>60</v>
      </c>
      <c r="H560" t="s">
        <v>80</v>
      </c>
      <c r="I560" t="s">
        <v>59</v>
      </c>
      <c r="J560" t="s">
        <v>32</v>
      </c>
      <c r="K560">
        <v>200</v>
      </c>
    </row>
    <row r="561" spans="1:11" x14ac:dyDescent="0.25">
      <c r="A561" s="2">
        <v>38534</v>
      </c>
      <c r="B561">
        <v>6</v>
      </c>
      <c r="C561" t="s">
        <v>136</v>
      </c>
      <c r="D561">
        <v>2</v>
      </c>
      <c r="E561" t="s">
        <v>90</v>
      </c>
      <c r="F561">
        <v>1</v>
      </c>
      <c r="G561" t="s">
        <v>57</v>
      </c>
      <c r="H561" t="s">
        <v>81</v>
      </c>
      <c r="I561" t="s">
        <v>82</v>
      </c>
      <c r="J561" t="s">
        <v>32</v>
      </c>
      <c r="K561">
        <v>60</v>
      </c>
    </row>
    <row r="562" spans="1:11" x14ac:dyDescent="0.25">
      <c r="A562" s="2">
        <v>38534</v>
      </c>
      <c r="B562">
        <v>6</v>
      </c>
      <c r="C562" t="s">
        <v>136</v>
      </c>
      <c r="D562">
        <v>2</v>
      </c>
      <c r="E562" t="s">
        <v>90</v>
      </c>
      <c r="F562">
        <v>1</v>
      </c>
      <c r="G562" t="s">
        <v>57</v>
      </c>
      <c r="H562" t="s">
        <v>83</v>
      </c>
      <c r="I562" t="s">
        <v>59</v>
      </c>
      <c r="J562" t="s">
        <v>32</v>
      </c>
      <c r="K562">
        <v>93</v>
      </c>
    </row>
    <row r="563" spans="1:11" x14ac:dyDescent="0.25">
      <c r="A563" s="2">
        <v>38534</v>
      </c>
      <c r="B563">
        <v>6</v>
      </c>
      <c r="C563" t="s">
        <v>136</v>
      </c>
      <c r="D563">
        <v>2</v>
      </c>
      <c r="E563" t="s">
        <v>90</v>
      </c>
      <c r="F563">
        <v>1</v>
      </c>
      <c r="G563" t="s">
        <v>57</v>
      </c>
      <c r="H563" t="s">
        <v>84</v>
      </c>
      <c r="I563" t="s">
        <v>82</v>
      </c>
      <c r="J563" t="s">
        <v>32</v>
      </c>
      <c r="K563">
        <v>-74</v>
      </c>
    </row>
    <row r="564" spans="1:11" x14ac:dyDescent="0.25">
      <c r="A564" s="2">
        <v>38534</v>
      </c>
      <c r="B564">
        <v>6</v>
      </c>
      <c r="C564" t="s">
        <v>136</v>
      </c>
      <c r="D564">
        <v>2</v>
      </c>
      <c r="E564" t="s">
        <v>90</v>
      </c>
      <c r="F564">
        <v>1</v>
      </c>
      <c r="G564" t="s">
        <v>57</v>
      </c>
      <c r="H564" t="s">
        <v>85</v>
      </c>
      <c r="I564" t="s">
        <v>82</v>
      </c>
      <c r="J564" t="s">
        <v>32</v>
      </c>
      <c r="K564">
        <v>124</v>
      </c>
    </row>
    <row r="565" spans="1:11" x14ac:dyDescent="0.25">
      <c r="A565" s="2">
        <v>38534</v>
      </c>
      <c r="B565">
        <v>6</v>
      </c>
      <c r="C565" t="s">
        <v>136</v>
      </c>
      <c r="D565">
        <v>2</v>
      </c>
      <c r="E565" t="s">
        <v>90</v>
      </c>
      <c r="F565">
        <v>1</v>
      </c>
      <c r="G565" t="s">
        <v>57</v>
      </c>
      <c r="H565" t="s">
        <v>86</v>
      </c>
      <c r="I565" t="s">
        <v>59</v>
      </c>
      <c r="J565" t="s">
        <v>32</v>
      </c>
      <c r="K565">
        <v>29</v>
      </c>
    </row>
    <row r="566" spans="1:11" x14ac:dyDescent="0.25">
      <c r="A566" s="2">
        <v>38534</v>
      </c>
      <c r="B566">
        <v>6</v>
      </c>
      <c r="C566" t="s">
        <v>136</v>
      </c>
      <c r="D566">
        <v>2</v>
      </c>
      <c r="E566" t="s">
        <v>90</v>
      </c>
      <c r="F566">
        <v>1</v>
      </c>
      <c r="G566" t="s">
        <v>57</v>
      </c>
      <c r="H566" t="s">
        <v>87</v>
      </c>
      <c r="I566" t="s">
        <v>88</v>
      </c>
      <c r="J566" t="s">
        <v>89</v>
      </c>
      <c r="K566">
        <v>3</v>
      </c>
    </row>
    <row r="567" spans="1:11" x14ac:dyDescent="0.25">
      <c r="A567" s="2">
        <v>38534</v>
      </c>
      <c r="B567">
        <v>6</v>
      </c>
      <c r="C567" t="s">
        <v>136</v>
      </c>
      <c r="D567">
        <v>3</v>
      </c>
      <c r="E567" t="s">
        <v>137</v>
      </c>
      <c r="F567">
        <v>1</v>
      </c>
      <c r="G567" t="s">
        <v>57</v>
      </c>
      <c r="H567" t="s">
        <v>138</v>
      </c>
      <c r="I567" t="s">
        <v>92</v>
      </c>
      <c r="J567" t="s">
        <v>32</v>
      </c>
      <c r="K567">
        <v>308472</v>
      </c>
    </row>
    <row r="568" spans="1:11" x14ac:dyDescent="0.25">
      <c r="A568" s="2">
        <v>38534</v>
      </c>
      <c r="B568">
        <v>6</v>
      </c>
      <c r="C568" t="s">
        <v>136</v>
      </c>
      <c r="D568">
        <v>3</v>
      </c>
      <c r="E568" t="s">
        <v>137</v>
      </c>
      <c r="F568">
        <v>1</v>
      </c>
      <c r="G568" t="s">
        <v>57</v>
      </c>
      <c r="H568" t="s">
        <v>139</v>
      </c>
      <c r="I568" t="s">
        <v>92</v>
      </c>
      <c r="J568" t="s">
        <v>32</v>
      </c>
      <c r="K568">
        <v>176270</v>
      </c>
    </row>
    <row r="569" spans="1:11" x14ac:dyDescent="0.25">
      <c r="A569" s="2">
        <v>38534</v>
      </c>
      <c r="B569">
        <v>6</v>
      </c>
      <c r="C569" t="s">
        <v>136</v>
      </c>
      <c r="D569">
        <v>3</v>
      </c>
      <c r="E569" t="s">
        <v>137</v>
      </c>
      <c r="F569">
        <v>1</v>
      </c>
      <c r="G569" t="s">
        <v>57</v>
      </c>
      <c r="H569" t="s">
        <v>58</v>
      </c>
      <c r="I569" t="s">
        <v>59</v>
      </c>
      <c r="J569" t="s">
        <v>32</v>
      </c>
      <c r="K569">
        <v>22698</v>
      </c>
    </row>
    <row r="570" spans="1:11" x14ac:dyDescent="0.25">
      <c r="A570" s="2">
        <v>38534</v>
      </c>
      <c r="B570">
        <v>6</v>
      </c>
      <c r="C570" t="s">
        <v>136</v>
      </c>
      <c r="D570">
        <v>3</v>
      </c>
      <c r="E570" t="s">
        <v>137</v>
      </c>
      <c r="F570">
        <v>2</v>
      </c>
      <c r="G570" t="s">
        <v>60</v>
      </c>
      <c r="H570" t="s">
        <v>58</v>
      </c>
      <c r="I570" t="s">
        <v>59</v>
      </c>
      <c r="J570" t="s">
        <v>32</v>
      </c>
      <c r="K570">
        <v>23000</v>
      </c>
    </row>
    <row r="571" spans="1:11" x14ac:dyDescent="0.25">
      <c r="A571" s="2">
        <v>38534</v>
      </c>
      <c r="B571">
        <v>6</v>
      </c>
      <c r="C571" t="s">
        <v>136</v>
      </c>
      <c r="D571">
        <v>3</v>
      </c>
      <c r="E571" t="s">
        <v>137</v>
      </c>
      <c r="F571">
        <v>2</v>
      </c>
      <c r="G571" t="s">
        <v>60</v>
      </c>
      <c r="H571" t="s">
        <v>61</v>
      </c>
      <c r="I571" t="s">
        <v>59</v>
      </c>
      <c r="J571" t="s">
        <v>32</v>
      </c>
      <c r="K571">
        <v>2300</v>
      </c>
    </row>
    <row r="572" spans="1:11" x14ac:dyDescent="0.25">
      <c r="A572" s="2">
        <v>38534</v>
      </c>
      <c r="B572">
        <v>6</v>
      </c>
      <c r="C572" t="s">
        <v>136</v>
      </c>
      <c r="D572">
        <v>3</v>
      </c>
      <c r="E572" t="s">
        <v>137</v>
      </c>
      <c r="F572">
        <v>1</v>
      </c>
      <c r="G572" t="s">
        <v>57</v>
      </c>
      <c r="H572" t="s">
        <v>61</v>
      </c>
      <c r="I572" t="s">
        <v>59</v>
      </c>
      <c r="J572" t="s">
        <v>32</v>
      </c>
      <c r="K572">
        <v>2497</v>
      </c>
    </row>
    <row r="573" spans="1:11" x14ac:dyDescent="0.25">
      <c r="A573" s="2">
        <v>38534</v>
      </c>
      <c r="B573">
        <v>6</v>
      </c>
      <c r="C573" t="s">
        <v>136</v>
      </c>
      <c r="D573">
        <v>3</v>
      </c>
      <c r="E573" t="s">
        <v>137</v>
      </c>
      <c r="F573">
        <v>1</v>
      </c>
      <c r="G573" t="s">
        <v>57</v>
      </c>
      <c r="H573" t="s">
        <v>62</v>
      </c>
      <c r="I573" t="s">
        <v>59</v>
      </c>
      <c r="J573" t="s">
        <v>32</v>
      </c>
      <c r="K573">
        <v>2042</v>
      </c>
    </row>
    <row r="574" spans="1:11" x14ac:dyDescent="0.25">
      <c r="A574" s="2">
        <v>38534</v>
      </c>
      <c r="B574">
        <v>6</v>
      </c>
      <c r="C574" t="s">
        <v>136</v>
      </c>
      <c r="D574">
        <v>3</v>
      </c>
      <c r="E574" t="s">
        <v>137</v>
      </c>
      <c r="F574">
        <v>2</v>
      </c>
      <c r="G574" t="s">
        <v>60</v>
      </c>
      <c r="H574" t="s">
        <v>62</v>
      </c>
      <c r="I574" t="s">
        <v>59</v>
      </c>
      <c r="J574" t="s">
        <v>32</v>
      </c>
      <c r="K574">
        <v>1700</v>
      </c>
    </row>
    <row r="575" spans="1:11" x14ac:dyDescent="0.25">
      <c r="A575" s="2">
        <v>38534</v>
      </c>
      <c r="B575">
        <v>6</v>
      </c>
      <c r="C575" t="s">
        <v>136</v>
      </c>
      <c r="D575">
        <v>3</v>
      </c>
      <c r="E575" t="s">
        <v>137</v>
      </c>
      <c r="F575">
        <v>2</v>
      </c>
      <c r="G575" t="s">
        <v>60</v>
      </c>
      <c r="H575" t="s">
        <v>63</v>
      </c>
      <c r="I575" t="s">
        <v>59</v>
      </c>
      <c r="J575" t="s">
        <v>32</v>
      </c>
      <c r="K575">
        <v>380</v>
      </c>
    </row>
    <row r="576" spans="1:11" x14ac:dyDescent="0.25">
      <c r="A576" s="2">
        <v>38534</v>
      </c>
      <c r="B576">
        <v>6</v>
      </c>
      <c r="C576" t="s">
        <v>136</v>
      </c>
      <c r="D576">
        <v>3</v>
      </c>
      <c r="E576" t="s">
        <v>137</v>
      </c>
      <c r="F576">
        <v>1</v>
      </c>
      <c r="G576" t="s">
        <v>57</v>
      </c>
      <c r="H576" t="s">
        <v>63</v>
      </c>
      <c r="I576" t="s">
        <v>59</v>
      </c>
      <c r="J576" t="s">
        <v>32</v>
      </c>
      <c r="K576">
        <v>468</v>
      </c>
    </row>
    <row r="577" spans="1:11" x14ac:dyDescent="0.25">
      <c r="A577" s="2">
        <v>38534</v>
      </c>
      <c r="B577">
        <v>6</v>
      </c>
      <c r="C577" t="s">
        <v>136</v>
      </c>
      <c r="D577">
        <v>3</v>
      </c>
      <c r="E577" t="s">
        <v>137</v>
      </c>
      <c r="F577">
        <v>1</v>
      </c>
      <c r="G577" t="s">
        <v>57</v>
      </c>
      <c r="H577" t="s">
        <v>64</v>
      </c>
      <c r="I577" t="s">
        <v>59</v>
      </c>
      <c r="J577" t="s">
        <v>32</v>
      </c>
      <c r="K577">
        <v>426</v>
      </c>
    </row>
    <row r="578" spans="1:11" x14ac:dyDescent="0.25">
      <c r="A578" s="2">
        <v>38534</v>
      </c>
      <c r="B578">
        <v>6</v>
      </c>
      <c r="C578" t="s">
        <v>136</v>
      </c>
      <c r="D578">
        <v>3</v>
      </c>
      <c r="E578" t="s">
        <v>137</v>
      </c>
      <c r="F578">
        <v>2</v>
      </c>
      <c r="G578" t="s">
        <v>60</v>
      </c>
      <c r="H578" t="s">
        <v>64</v>
      </c>
      <c r="I578" t="s">
        <v>59</v>
      </c>
      <c r="J578" t="s">
        <v>32</v>
      </c>
      <c r="K578">
        <v>380</v>
      </c>
    </row>
    <row r="579" spans="1:11" x14ac:dyDescent="0.25">
      <c r="A579" s="2">
        <v>38534</v>
      </c>
      <c r="B579">
        <v>6</v>
      </c>
      <c r="C579" t="s">
        <v>136</v>
      </c>
      <c r="D579">
        <v>3</v>
      </c>
      <c r="E579" t="s">
        <v>137</v>
      </c>
      <c r="F579">
        <v>2</v>
      </c>
      <c r="G579" t="s">
        <v>60</v>
      </c>
      <c r="H579" t="s">
        <v>65</v>
      </c>
      <c r="I579" t="s">
        <v>59</v>
      </c>
      <c r="J579" t="s">
        <v>32</v>
      </c>
      <c r="K579">
        <v>200</v>
      </c>
    </row>
    <row r="580" spans="1:11" x14ac:dyDescent="0.25">
      <c r="A580" s="2">
        <v>38534</v>
      </c>
      <c r="B580">
        <v>6</v>
      </c>
      <c r="C580" t="s">
        <v>136</v>
      </c>
      <c r="D580">
        <v>3</v>
      </c>
      <c r="E580" t="s">
        <v>137</v>
      </c>
      <c r="F580">
        <v>1</v>
      </c>
      <c r="G580" t="s">
        <v>57</v>
      </c>
      <c r="H580" t="s">
        <v>65</v>
      </c>
      <c r="I580" t="s">
        <v>59</v>
      </c>
      <c r="J580" t="s">
        <v>32</v>
      </c>
      <c r="K580">
        <v>211</v>
      </c>
    </row>
    <row r="581" spans="1:11" x14ac:dyDescent="0.25">
      <c r="A581" s="2">
        <v>38534</v>
      </c>
      <c r="B581">
        <v>6</v>
      </c>
      <c r="C581" t="s">
        <v>136</v>
      </c>
      <c r="D581">
        <v>3</v>
      </c>
      <c r="E581" t="s">
        <v>137</v>
      </c>
      <c r="F581">
        <v>1</v>
      </c>
      <c r="G581" t="s">
        <v>57</v>
      </c>
      <c r="H581" t="s">
        <v>66</v>
      </c>
      <c r="I581" t="s">
        <v>59</v>
      </c>
      <c r="J581" t="s">
        <v>32</v>
      </c>
      <c r="K581">
        <v>158</v>
      </c>
    </row>
    <row r="582" spans="1:11" x14ac:dyDescent="0.25">
      <c r="A582" s="2">
        <v>38534</v>
      </c>
      <c r="B582">
        <v>6</v>
      </c>
      <c r="C582" t="s">
        <v>136</v>
      </c>
      <c r="D582">
        <v>3</v>
      </c>
      <c r="E582" t="s">
        <v>137</v>
      </c>
      <c r="F582">
        <v>2</v>
      </c>
      <c r="G582" t="s">
        <v>60</v>
      </c>
      <c r="H582" t="s">
        <v>66</v>
      </c>
      <c r="I582" t="s">
        <v>59</v>
      </c>
      <c r="J582" t="s">
        <v>32</v>
      </c>
      <c r="K582">
        <v>200</v>
      </c>
    </row>
    <row r="583" spans="1:11" x14ac:dyDescent="0.25">
      <c r="A583" s="2">
        <v>38534</v>
      </c>
      <c r="B583">
        <v>6</v>
      </c>
      <c r="C583" t="s">
        <v>136</v>
      </c>
      <c r="D583">
        <v>3</v>
      </c>
      <c r="E583" t="s">
        <v>137</v>
      </c>
      <c r="F583">
        <v>1</v>
      </c>
      <c r="G583" t="s">
        <v>57</v>
      </c>
      <c r="H583" t="s">
        <v>67</v>
      </c>
      <c r="I583" t="s">
        <v>59</v>
      </c>
      <c r="J583" t="s">
        <v>32</v>
      </c>
      <c r="K583">
        <v>47</v>
      </c>
    </row>
    <row r="584" spans="1:11" x14ac:dyDescent="0.25">
      <c r="A584" s="2">
        <v>38534</v>
      </c>
      <c r="B584">
        <v>6</v>
      </c>
      <c r="C584" t="s">
        <v>136</v>
      </c>
      <c r="D584">
        <v>3</v>
      </c>
      <c r="E584" t="s">
        <v>137</v>
      </c>
      <c r="F584">
        <v>1</v>
      </c>
      <c r="G584" t="s">
        <v>57</v>
      </c>
      <c r="H584" t="s">
        <v>68</v>
      </c>
      <c r="I584" t="s">
        <v>59</v>
      </c>
      <c r="J584" t="s">
        <v>32</v>
      </c>
      <c r="K584">
        <v>35</v>
      </c>
    </row>
    <row r="585" spans="1:11" x14ac:dyDescent="0.25">
      <c r="A585" s="2">
        <v>38534</v>
      </c>
      <c r="B585">
        <v>6</v>
      </c>
      <c r="C585" t="s">
        <v>136</v>
      </c>
      <c r="D585">
        <v>3</v>
      </c>
      <c r="E585" t="s">
        <v>137</v>
      </c>
      <c r="F585">
        <v>2</v>
      </c>
      <c r="G585" t="s">
        <v>60</v>
      </c>
      <c r="H585" t="s">
        <v>68</v>
      </c>
      <c r="I585" t="s">
        <v>59</v>
      </c>
      <c r="J585" t="s">
        <v>32</v>
      </c>
      <c r="K585">
        <v>70</v>
      </c>
    </row>
    <row r="586" spans="1:11" x14ac:dyDescent="0.25">
      <c r="A586" s="2">
        <v>38534</v>
      </c>
      <c r="B586">
        <v>6</v>
      </c>
      <c r="C586" t="s">
        <v>136</v>
      </c>
      <c r="D586">
        <v>3</v>
      </c>
      <c r="E586" t="s">
        <v>137</v>
      </c>
      <c r="F586">
        <v>2</v>
      </c>
      <c r="G586" t="s">
        <v>60</v>
      </c>
      <c r="H586" t="s">
        <v>69</v>
      </c>
      <c r="I586" t="s">
        <v>59</v>
      </c>
      <c r="J586" t="s">
        <v>32</v>
      </c>
      <c r="K586">
        <v>300</v>
      </c>
    </row>
    <row r="587" spans="1:11" x14ac:dyDescent="0.25">
      <c r="A587" s="2">
        <v>38534</v>
      </c>
      <c r="B587">
        <v>6</v>
      </c>
      <c r="C587" t="s">
        <v>136</v>
      </c>
      <c r="D587">
        <v>3</v>
      </c>
      <c r="E587" t="s">
        <v>137</v>
      </c>
      <c r="F587">
        <v>1</v>
      </c>
      <c r="G587" t="s">
        <v>57</v>
      </c>
      <c r="H587" t="s">
        <v>69</v>
      </c>
      <c r="I587" t="s">
        <v>59</v>
      </c>
      <c r="J587" t="s">
        <v>32</v>
      </c>
      <c r="K587">
        <v>281</v>
      </c>
    </row>
    <row r="588" spans="1:11" x14ac:dyDescent="0.25">
      <c r="A588" s="2">
        <v>38534</v>
      </c>
      <c r="B588">
        <v>6</v>
      </c>
      <c r="C588" t="s">
        <v>136</v>
      </c>
      <c r="D588">
        <v>3</v>
      </c>
      <c r="E588" t="s">
        <v>137</v>
      </c>
      <c r="F588">
        <v>1</v>
      </c>
      <c r="G588" t="s">
        <v>57</v>
      </c>
      <c r="H588" t="s">
        <v>70</v>
      </c>
      <c r="I588" t="s">
        <v>59</v>
      </c>
      <c r="J588" t="s">
        <v>32</v>
      </c>
      <c r="K588">
        <v>167</v>
      </c>
    </row>
    <row r="589" spans="1:11" x14ac:dyDescent="0.25">
      <c r="A589" s="2">
        <v>38534</v>
      </c>
      <c r="B589">
        <v>6</v>
      </c>
      <c r="C589" t="s">
        <v>136</v>
      </c>
      <c r="D589">
        <v>3</v>
      </c>
      <c r="E589" t="s">
        <v>137</v>
      </c>
      <c r="F589">
        <v>2</v>
      </c>
      <c r="G589" t="s">
        <v>60</v>
      </c>
      <c r="H589" t="s">
        <v>70</v>
      </c>
      <c r="I589" t="s">
        <v>59</v>
      </c>
      <c r="J589" t="s">
        <v>32</v>
      </c>
      <c r="K589">
        <v>100</v>
      </c>
    </row>
    <row r="590" spans="1:11" x14ac:dyDescent="0.25">
      <c r="A590" s="2">
        <v>38534</v>
      </c>
      <c r="B590">
        <v>6</v>
      </c>
      <c r="C590" t="s">
        <v>136</v>
      </c>
      <c r="D590">
        <v>3</v>
      </c>
      <c r="E590" t="s">
        <v>137</v>
      </c>
      <c r="F590">
        <v>2</v>
      </c>
      <c r="G590" t="s">
        <v>60</v>
      </c>
      <c r="H590" t="s">
        <v>71</v>
      </c>
      <c r="I590" t="s">
        <v>59</v>
      </c>
      <c r="J590" t="s">
        <v>32</v>
      </c>
      <c r="K590">
        <v>280</v>
      </c>
    </row>
    <row r="591" spans="1:11" x14ac:dyDescent="0.25">
      <c r="A591" s="2">
        <v>38534</v>
      </c>
      <c r="B591">
        <v>6</v>
      </c>
      <c r="C591" t="s">
        <v>136</v>
      </c>
      <c r="D591">
        <v>3</v>
      </c>
      <c r="E591" t="s">
        <v>137</v>
      </c>
      <c r="F591">
        <v>1</v>
      </c>
      <c r="G591" t="s">
        <v>57</v>
      </c>
      <c r="H591" t="s">
        <v>71</v>
      </c>
      <c r="I591" t="s">
        <v>59</v>
      </c>
      <c r="J591" t="s">
        <v>32</v>
      </c>
      <c r="K591">
        <v>310</v>
      </c>
    </row>
    <row r="592" spans="1:11" x14ac:dyDescent="0.25">
      <c r="A592" s="2">
        <v>38534</v>
      </c>
      <c r="B592">
        <v>6</v>
      </c>
      <c r="C592" t="s">
        <v>136</v>
      </c>
      <c r="D592">
        <v>3</v>
      </c>
      <c r="E592" t="s">
        <v>137</v>
      </c>
      <c r="F592">
        <v>1</v>
      </c>
      <c r="G592" t="s">
        <v>57</v>
      </c>
      <c r="H592" t="s">
        <v>72</v>
      </c>
      <c r="I592" t="s">
        <v>59</v>
      </c>
      <c r="J592" t="s">
        <v>32</v>
      </c>
      <c r="K592">
        <v>558</v>
      </c>
    </row>
    <row r="593" spans="1:11" x14ac:dyDescent="0.25">
      <c r="A593" s="2">
        <v>38534</v>
      </c>
      <c r="B593">
        <v>6</v>
      </c>
      <c r="C593" t="s">
        <v>136</v>
      </c>
      <c r="D593">
        <v>3</v>
      </c>
      <c r="E593" t="s">
        <v>137</v>
      </c>
      <c r="F593">
        <v>2</v>
      </c>
      <c r="G593" t="s">
        <v>60</v>
      </c>
      <c r="H593" t="s">
        <v>72</v>
      </c>
      <c r="I593" t="s">
        <v>59</v>
      </c>
      <c r="J593" t="s">
        <v>32</v>
      </c>
      <c r="K593">
        <v>550</v>
      </c>
    </row>
    <row r="594" spans="1:11" x14ac:dyDescent="0.25">
      <c r="A594" s="2">
        <v>38534</v>
      </c>
      <c r="B594">
        <v>6</v>
      </c>
      <c r="C594" t="s">
        <v>136</v>
      </c>
      <c r="D594">
        <v>3</v>
      </c>
      <c r="E594" t="s">
        <v>137</v>
      </c>
      <c r="F594">
        <v>2</v>
      </c>
      <c r="G594" t="s">
        <v>60</v>
      </c>
      <c r="H594" t="s">
        <v>73</v>
      </c>
      <c r="I594" t="s">
        <v>59</v>
      </c>
      <c r="J594" t="s">
        <v>32</v>
      </c>
      <c r="K594">
        <v>200</v>
      </c>
    </row>
    <row r="595" spans="1:11" x14ac:dyDescent="0.25">
      <c r="A595" s="2">
        <v>38534</v>
      </c>
      <c r="B595">
        <v>6</v>
      </c>
      <c r="C595" t="s">
        <v>136</v>
      </c>
      <c r="D595">
        <v>3</v>
      </c>
      <c r="E595" t="s">
        <v>137</v>
      </c>
      <c r="F595">
        <v>1</v>
      </c>
      <c r="G595" t="s">
        <v>57</v>
      </c>
      <c r="H595" t="s">
        <v>73</v>
      </c>
      <c r="I595" t="s">
        <v>59</v>
      </c>
      <c r="J595" t="s">
        <v>32</v>
      </c>
      <c r="K595">
        <v>154</v>
      </c>
    </row>
    <row r="596" spans="1:11" x14ac:dyDescent="0.25">
      <c r="A596" s="2">
        <v>38534</v>
      </c>
      <c r="B596">
        <v>6</v>
      </c>
      <c r="C596" t="s">
        <v>136</v>
      </c>
      <c r="D596">
        <v>3</v>
      </c>
      <c r="E596" t="s">
        <v>137</v>
      </c>
      <c r="F596">
        <v>1</v>
      </c>
      <c r="G596" t="s">
        <v>57</v>
      </c>
      <c r="H596" t="s">
        <v>74</v>
      </c>
      <c r="I596" t="s">
        <v>59</v>
      </c>
      <c r="J596" t="s">
        <v>32</v>
      </c>
      <c r="K596">
        <v>602</v>
      </c>
    </row>
    <row r="597" spans="1:11" x14ac:dyDescent="0.25">
      <c r="A597" s="2">
        <v>38534</v>
      </c>
      <c r="B597">
        <v>6</v>
      </c>
      <c r="C597" t="s">
        <v>136</v>
      </c>
      <c r="D597">
        <v>3</v>
      </c>
      <c r="E597" t="s">
        <v>137</v>
      </c>
      <c r="F597">
        <v>2</v>
      </c>
      <c r="G597" t="s">
        <v>60</v>
      </c>
      <c r="H597" t="s">
        <v>74</v>
      </c>
      <c r="I597" t="s">
        <v>59</v>
      </c>
      <c r="J597" t="s">
        <v>32</v>
      </c>
      <c r="K597">
        <v>550</v>
      </c>
    </row>
    <row r="598" spans="1:11" x14ac:dyDescent="0.25">
      <c r="A598" s="2">
        <v>38534</v>
      </c>
      <c r="B598">
        <v>6</v>
      </c>
      <c r="C598" t="s">
        <v>136</v>
      </c>
      <c r="D598">
        <v>3</v>
      </c>
      <c r="E598" t="s">
        <v>137</v>
      </c>
      <c r="F598">
        <v>2</v>
      </c>
      <c r="G598" t="s">
        <v>60</v>
      </c>
      <c r="H598" t="s">
        <v>75</v>
      </c>
      <c r="I598" t="s">
        <v>59</v>
      </c>
      <c r="J598" t="s">
        <v>32</v>
      </c>
      <c r="K598">
        <v>380</v>
      </c>
    </row>
    <row r="599" spans="1:11" x14ac:dyDescent="0.25">
      <c r="A599" s="2">
        <v>38534</v>
      </c>
      <c r="B599">
        <v>6</v>
      </c>
      <c r="C599" t="s">
        <v>136</v>
      </c>
      <c r="D599">
        <v>3</v>
      </c>
      <c r="E599" t="s">
        <v>137</v>
      </c>
      <c r="F599">
        <v>1</v>
      </c>
      <c r="G599" t="s">
        <v>57</v>
      </c>
      <c r="H599" t="s">
        <v>75</v>
      </c>
      <c r="I599" t="s">
        <v>59</v>
      </c>
      <c r="J599" t="s">
        <v>32</v>
      </c>
      <c r="K599">
        <v>372</v>
      </c>
    </row>
    <row r="600" spans="1:11" x14ac:dyDescent="0.25">
      <c r="A600" s="2">
        <v>38534</v>
      </c>
      <c r="B600">
        <v>6</v>
      </c>
      <c r="C600" t="s">
        <v>136</v>
      </c>
      <c r="D600">
        <v>3</v>
      </c>
      <c r="E600" t="s">
        <v>137</v>
      </c>
      <c r="F600">
        <v>1</v>
      </c>
      <c r="G600" t="s">
        <v>57</v>
      </c>
      <c r="H600" t="s">
        <v>76</v>
      </c>
      <c r="I600" t="s">
        <v>59</v>
      </c>
      <c r="J600" t="s">
        <v>32</v>
      </c>
      <c r="K600">
        <v>37</v>
      </c>
    </row>
    <row r="601" spans="1:11" x14ac:dyDescent="0.25">
      <c r="A601" s="2">
        <v>38534</v>
      </c>
      <c r="B601">
        <v>6</v>
      </c>
      <c r="C601" t="s">
        <v>136</v>
      </c>
      <c r="D601">
        <v>3</v>
      </c>
      <c r="E601" t="s">
        <v>137</v>
      </c>
      <c r="F601">
        <v>2</v>
      </c>
      <c r="G601" t="s">
        <v>60</v>
      </c>
      <c r="H601" t="s">
        <v>76</v>
      </c>
      <c r="I601" t="s">
        <v>59</v>
      </c>
      <c r="J601" t="s">
        <v>32</v>
      </c>
      <c r="K601">
        <v>40</v>
      </c>
    </row>
    <row r="602" spans="1:11" x14ac:dyDescent="0.25">
      <c r="A602" s="2">
        <v>38534</v>
      </c>
      <c r="B602">
        <v>6</v>
      </c>
      <c r="C602" t="s">
        <v>136</v>
      </c>
      <c r="D602">
        <v>3</v>
      </c>
      <c r="E602" t="s">
        <v>137</v>
      </c>
      <c r="F602">
        <v>2</v>
      </c>
      <c r="G602" t="s">
        <v>60</v>
      </c>
      <c r="H602" t="s">
        <v>77</v>
      </c>
      <c r="I602" t="s">
        <v>59</v>
      </c>
      <c r="J602" t="s">
        <v>32</v>
      </c>
      <c r="K602">
        <v>200</v>
      </c>
    </row>
    <row r="603" spans="1:11" x14ac:dyDescent="0.25">
      <c r="A603" s="2">
        <v>38534</v>
      </c>
      <c r="B603">
        <v>6</v>
      </c>
      <c r="C603" t="s">
        <v>136</v>
      </c>
      <c r="D603">
        <v>3</v>
      </c>
      <c r="E603" t="s">
        <v>137</v>
      </c>
      <c r="F603">
        <v>1</v>
      </c>
      <c r="G603" t="s">
        <v>57</v>
      </c>
      <c r="H603" t="s">
        <v>77</v>
      </c>
      <c r="I603" t="s">
        <v>59</v>
      </c>
      <c r="J603" t="s">
        <v>32</v>
      </c>
      <c r="K603">
        <v>130</v>
      </c>
    </row>
    <row r="604" spans="1:11" x14ac:dyDescent="0.25">
      <c r="A604" s="2">
        <v>38534</v>
      </c>
      <c r="B604">
        <v>6</v>
      </c>
      <c r="C604" t="s">
        <v>136</v>
      </c>
      <c r="D604">
        <v>3</v>
      </c>
      <c r="E604" t="s">
        <v>137</v>
      </c>
      <c r="F604">
        <v>1</v>
      </c>
      <c r="G604" t="s">
        <v>57</v>
      </c>
      <c r="H604" t="s">
        <v>78</v>
      </c>
      <c r="I604" t="s">
        <v>59</v>
      </c>
      <c r="J604" t="s">
        <v>32</v>
      </c>
      <c r="K604">
        <v>112</v>
      </c>
    </row>
    <row r="605" spans="1:11" x14ac:dyDescent="0.25">
      <c r="A605" s="2">
        <v>38534</v>
      </c>
      <c r="B605">
        <v>6</v>
      </c>
      <c r="C605" t="s">
        <v>136</v>
      </c>
      <c r="D605">
        <v>3</v>
      </c>
      <c r="E605" t="s">
        <v>137</v>
      </c>
      <c r="F605">
        <v>2</v>
      </c>
      <c r="G605" t="s">
        <v>60</v>
      </c>
      <c r="H605" t="s">
        <v>78</v>
      </c>
      <c r="I605" t="s">
        <v>59</v>
      </c>
      <c r="J605" t="s">
        <v>32</v>
      </c>
      <c r="K605">
        <v>100</v>
      </c>
    </row>
    <row r="606" spans="1:11" x14ac:dyDescent="0.25">
      <c r="A606" s="2">
        <v>38534</v>
      </c>
      <c r="B606">
        <v>6</v>
      </c>
      <c r="C606" t="s">
        <v>136</v>
      </c>
      <c r="D606">
        <v>3</v>
      </c>
      <c r="E606" t="s">
        <v>137</v>
      </c>
      <c r="F606">
        <v>2</v>
      </c>
      <c r="G606" t="s">
        <v>60</v>
      </c>
      <c r="H606" t="s">
        <v>79</v>
      </c>
      <c r="I606" t="s">
        <v>59</v>
      </c>
      <c r="J606" t="s">
        <v>32</v>
      </c>
      <c r="K606">
        <v>100</v>
      </c>
    </row>
    <row r="607" spans="1:11" x14ac:dyDescent="0.25">
      <c r="A607" s="2">
        <v>38534</v>
      </c>
      <c r="B607">
        <v>6</v>
      </c>
      <c r="C607" t="s">
        <v>136</v>
      </c>
      <c r="D607">
        <v>3</v>
      </c>
      <c r="E607" t="s">
        <v>137</v>
      </c>
      <c r="F607">
        <v>1</v>
      </c>
      <c r="G607" t="s">
        <v>57</v>
      </c>
      <c r="H607" t="s">
        <v>79</v>
      </c>
      <c r="I607" t="s">
        <v>59</v>
      </c>
      <c r="J607" t="s">
        <v>32</v>
      </c>
      <c r="K607">
        <v>104</v>
      </c>
    </row>
    <row r="608" spans="1:11" x14ac:dyDescent="0.25">
      <c r="A608" s="2">
        <v>38534</v>
      </c>
      <c r="B608">
        <v>6</v>
      </c>
      <c r="C608" t="s">
        <v>136</v>
      </c>
      <c r="D608">
        <v>3</v>
      </c>
      <c r="E608" t="s">
        <v>137</v>
      </c>
      <c r="F608">
        <v>1</v>
      </c>
      <c r="G608" t="s">
        <v>57</v>
      </c>
      <c r="H608" t="s">
        <v>80</v>
      </c>
      <c r="I608" t="s">
        <v>59</v>
      </c>
      <c r="J608" t="s">
        <v>32</v>
      </c>
      <c r="K608">
        <v>527</v>
      </c>
    </row>
    <row r="609" spans="1:11" x14ac:dyDescent="0.25">
      <c r="A609" s="2">
        <v>38534</v>
      </c>
      <c r="B609">
        <v>6</v>
      </c>
      <c r="C609" t="s">
        <v>136</v>
      </c>
      <c r="D609">
        <v>3</v>
      </c>
      <c r="E609" t="s">
        <v>137</v>
      </c>
      <c r="F609">
        <v>2</v>
      </c>
      <c r="G609" t="s">
        <v>60</v>
      </c>
      <c r="H609" t="s">
        <v>80</v>
      </c>
      <c r="I609" t="s">
        <v>59</v>
      </c>
      <c r="J609" t="s">
        <v>32</v>
      </c>
      <c r="K609">
        <v>480</v>
      </c>
    </row>
    <row r="610" spans="1:11" x14ac:dyDescent="0.25">
      <c r="A610" s="2">
        <v>38534</v>
      </c>
      <c r="B610">
        <v>6</v>
      </c>
      <c r="C610" t="s">
        <v>136</v>
      </c>
      <c r="D610">
        <v>3</v>
      </c>
      <c r="E610" t="s">
        <v>137</v>
      </c>
      <c r="F610">
        <v>1</v>
      </c>
      <c r="G610" t="s">
        <v>57</v>
      </c>
      <c r="H610" t="s">
        <v>81</v>
      </c>
      <c r="I610" t="s">
        <v>82</v>
      </c>
      <c r="J610" t="s">
        <v>32</v>
      </c>
      <c r="K610">
        <v>168</v>
      </c>
    </row>
    <row r="611" spans="1:11" x14ac:dyDescent="0.25">
      <c r="A611" s="2">
        <v>38534</v>
      </c>
      <c r="B611">
        <v>6</v>
      </c>
      <c r="C611" t="s">
        <v>136</v>
      </c>
      <c r="D611">
        <v>3</v>
      </c>
      <c r="E611" t="s">
        <v>137</v>
      </c>
      <c r="F611">
        <v>1</v>
      </c>
      <c r="G611" t="s">
        <v>57</v>
      </c>
      <c r="H611" t="s">
        <v>83</v>
      </c>
      <c r="I611" t="s">
        <v>59</v>
      </c>
      <c r="J611" t="s">
        <v>32</v>
      </c>
      <c r="K611">
        <v>259</v>
      </c>
    </row>
    <row r="612" spans="1:11" x14ac:dyDescent="0.25">
      <c r="A612" s="2">
        <v>38534</v>
      </c>
      <c r="B612">
        <v>6</v>
      </c>
      <c r="C612" t="s">
        <v>136</v>
      </c>
      <c r="D612">
        <v>3</v>
      </c>
      <c r="E612" t="s">
        <v>137</v>
      </c>
      <c r="F612">
        <v>1</v>
      </c>
      <c r="G612" t="s">
        <v>57</v>
      </c>
      <c r="H612" t="s">
        <v>84</v>
      </c>
      <c r="I612" t="s">
        <v>82</v>
      </c>
      <c r="J612" t="s">
        <v>32</v>
      </c>
      <c r="K612">
        <v>-207</v>
      </c>
    </row>
    <row r="613" spans="1:11" x14ac:dyDescent="0.25">
      <c r="A613" s="2">
        <v>38534</v>
      </c>
      <c r="B613">
        <v>6</v>
      </c>
      <c r="C613" t="s">
        <v>136</v>
      </c>
      <c r="D613">
        <v>3</v>
      </c>
      <c r="E613" t="s">
        <v>137</v>
      </c>
      <c r="F613">
        <v>1</v>
      </c>
      <c r="G613" t="s">
        <v>57</v>
      </c>
      <c r="H613" t="s">
        <v>85</v>
      </c>
      <c r="I613" t="s">
        <v>82</v>
      </c>
      <c r="J613" t="s">
        <v>32</v>
      </c>
      <c r="K613">
        <v>345</v>
      </c>
    </row>
    <row r="614" spans="1:11" x14ac:dyDescent="0.25">
      <c r="A614" s="2">
        <v>38534</v>
      </c>
      <c r="B614">
        <v>6</v>
      </c>
      <c r="C614" t="s">
        <v>136</v>
      </c>
      <c r="D614">
        <v>3</v>
      </c>
      <c r="E614" t="s">
        <v>137</v>
      </c>
      <c r="F614">
        <v>1</v>
      </c>
      <c r="G614" t="s">
        <v>57</v>
      </c>
      <c r="H614" t="s">
        <v>86</v>
      </c>
      <c r="I614" t="s">
        <v>59</v>
      </c>
      <c r="J614" t="s">
        <v>32</v>
      </c>
      <c r="K614">
        <v>84</v>
      </c>
    </row>
    <row r="615" spans="1:11" x14ac:dyDescent="0.25">
      <c r="A615" s="2">
        <v>38534</v>
      </c>
      <c r="B615">
        <v>6</v>
      </c>
      <c r="C615" t="s">
        <v>136</v>
      </c>
      <c r="D615">
        <v>3</v>
      </c>
      <c r="E615" t="s">
        <v>137</v>
      </c>
      <c r="F615">
        <v>1</v>
      </c>
      <c r="G615" t="s">
        <v>57</v>
      </c>
      <c r="H615" t="s">
        <v>87</v>
      </c>
      <c r="I615" t="s">
        <v>88</v>
      </c>
      <c r="J615" t="s">
        <v>89</v>
      </c>
      <c r="K615">
        <v>9</v>
      </c>
    </row>
    <row r="616" spans="1:11" x14ac:dyDescent="0.25">
      <c r="A616" s="2">
        <v>38534</v>
      </c>
      <c r="B616">
        <v>6</v>
      </c>
      <c r="C616" t="s">
        <v>136</v>
      </c>
      <c r="D616">
        <v>4</v>
      </c>
      <c r="E616" t="s">
        <v>140</v>
      </c>
      <c r="F616">
        <v>1</v>
      </c>
      <c r="G616" t="s">
        <v>57</v>
      </c>
      <c r="H616" t="s">
        <v>58</v>
      </c>
      <c r="I616" t="s">
        <v>59</v>
      </c>
      <c r="J616" t="s">
        <v>32</v>
      </c>
      <c r="K616">
        <v>16692</v>
      </c>
    </row>
    <row r="617" spans="1:11" x14ac:dyDescent="0.25">
      <c r="A617" s="2">
        <v>38534</v>
      </c>
      <c r="B617">
        <v>6</v>
      </c>
      <c r="C617" t="s">
        <v>136</v>
      </c>
      <c r="D617">
        <v>4</v>
      </c>
      <c r="E617" t="s">
        <v>140</v>
      </c>
      <c r="F617">
        <v>2</v>
      </c>
      <c r="G617" t="s">
        <v>60</v>
      </c>
      <c r="H617" t="s">
        <v>58</v>
      </c>
      <c r="I617" t="s">
        <v>59</v>
      </c>
      <c r="J617" t="s">
        <v>32</v>
      </c>
      <c r="K617">
        <v>17200</v>
      </c>
    </row>
    <row r="618" spans="1:11" x14ac:dyDescent="0.25">
      <c r="A618" s="2">
        <v>38534</v>
      </c>
      <c r="B618">
        <v>6</v>
      </c>
      <c r="C618" t="s">
        <v>136</v>
      </c>
      <c r="D618">
        <v>4</v>
      </c>
      <c r="E618" t="s">
        <v>140</v>
      </c>
      <c r="F618">
        <v>2</v>
      </c>
      <c r="G618" t="s">
        <v>60</v>
      </c>
      <c r="H618" t="s">
        <v>61</v>
      </c>
      <c r="I618" t="s">
        <v>59</v>
      </c>
      <c r="J618" t="s">
        <v>32</v>
      </c>
      <c r="K618">
        <v>1500</v>
      </c>
    </row>
    <row r="619" spans="1:11" x14ac:dyDescent="0.25">
      <c r="A619" s="2">
        <v>38534</v>
      </c>
      <c r="B619">
        <v>6</v>
      </c>
      <c r="C619" t="s">
        <v>136</v>
      </c>
      <c r="D619">
        <v>4</v>
      </c>
      <c r="E619" t="s">
        <v>140</v>
      </c>
      <c r="F619">
        <v>1</v>
      </c>
      <c r="G619" t="s">
        <v>57</v>
      </c>
      <c r="H619" t="s">
        <v>61</v>
      </c>
      <c r="I619" t="s">
        <v>59</v>
      </c>
      <c r="J619" t="s">
        <v>32</v>
      </c>
      <c r="K619">
        <v>1502</v>
      </c>
    </row>
    <row r="620" spans="1:11" x14ac:dyDescent="0.25">
      <c r="A620" s="2">
        <v>38534</v>
      </c>
      <c r="B620">
        <v>6</v>
      </c>
      <c r="C620" t="s">
        <v>136</v>
      </c>
      <c r="D620">
        <v>4</v>
      </c>
      <c r="E620" t="s">
        <v>140</v>
      </c>
      <c r="F620">
        <v>1</v>
      </c>
      <c r="G620" t="s">
        <v>57</v>
      </c>
      <c r="H620" t="s">
        <v>62</v>
      </c>
      <c r="I620" t="s">
        <v>59</v>
      </c>
      <c r="J620" t="s">
        <v>32</v>
      </c>
      <c r="K620">
        <v>1168</v>
      </c>
    </row>
    <row r="621" spans="1:11" x14ac:dyDescent="0.25">
      <c r="A621" s="2">
        <v>38534</v>
      </c>
      <c r="B621">
        <v>6</v>
      </c>
      <c r="C621" t="s">
        <v>136</v>
      </c>
      <c r="D621">
        <v>4</v>
      </c>
      <c r="E621" t="s">
        <v>140</v>
      </c>
      <c r="F621">
        <v>2</v>
      </c>
      <c r="G621" t="s">
        <v>60</v>
      </c>
      <c r="H621" t="s">
        <v>62</v>
      </c>
      <c r="I621" t="s">
        <v>59</v>
      </c>
      <c r="J621" t="s">
        <v>32</v>
      </c>
      <c r="K621">
        <v>1400</v>
      </c>
    </row>
    <row r="622" spans="1:11" x14ac:dyDescent="0.25">
      <c r="A622" s="2">
        <v>38534</v>
      </c>
      <c r="B622">
        <v>6</v>
      </c>
      <c r="C622" t="s">
        <v>136</v>
      </c>
      <c r="D622">
        <v>4</v>
      </c>
      <c r="E622" t="s">
        <v>140</v>
      </c>
      <c r="F622">
        <v>2</v>
      </c>
      <c r="G622" t="s">
        <v>60</v>
      </c>
      <c r="H622" t="s">
        <v>63</v>
      </c>
      <c r="I622" t="s">
        <v>59</v>
      </c>
      <c r="J622" t="s">
        <v>32</v>
      </c>
      <c r="K622">
        <v>280</v>
      </c>
    </row>
    <row r="623" spans="1:11" x14ac:dyDescent="0.25">
      <c r="A623" s="2">
        <v>38534</v>
      </c>
      <c r="B623">
        <v>6</v>
      </c>
      <c r="C623" t="s">
        <v>136</v>
      </c>
      <c r="D623">
        <v>4</v>
      </c>
      <c r="E623" t="s">
        <v>140</v>
      </c>
      <c r="F623">
        <v>1</v>
      </c>
      <c r="G623" t="s">
        <v>57</v>
      </c>
      <c r="H623" t="s">
        <v>63</v>
      </c>
      <c r="I623" t="s">
        <v>59</v>
      </c>
      <c r="J623" t="s">
        <v>32</v>
      </c>
      <c r="K623">
        <v>238</v>
      </c>
    </row>
    <row r="624" spans="1:11" x14ac:dyDescent="0.25">
      <c r="A624" s="2">
        <v>38534</v>
      </c>
      <c r="B624">
        <v>6</v>
      </c>
      <c r="C624" t="s">
        <v>136</v>
      </c>
      <c r="D624">
        <v>4</v>
      </c>
      <c r="E624" t="s">
        <v>140</v>
      </c>
      <c r="F624">
        <v>1</v>
      </c>
      <c r="G624" t="s">
        <v>57</v>
      </c>
      <c r="H624" t="s">
        <v>64</v>
      </c>
      <c r="I624" t="s">
        <v>59</v>
      </c>
      <c r="J624" t="s">
        <v>32</v>
      </c>
      <c r="K624">
        <v>216</v>
      </c>
    </row>
    <row r="625" spans="1:11" x14ac:dyDescent="0.25">
      <c r="A625" s="2">
        <v>38534</v>
      </c>
      <c r="B625">
        <v>6</v>
      </c>
      <c r="C625" t="s">
        <v>136</v>
      </c>
      <c r="D625">
        <v>4</v>
      </c>
      <c r="E625" t="s">
        <v>140</v>
      </c>
      <c r="F625">
        <v>2</v>
      </c>
      <c r="G625" t="s">
        <v>60</v>
      </c>
      <c r="H625" t="s">
        <v>64</v>
      </c>
      <c r="I625" t="s">
        <v>59</v>
      </c>
      <c r="J625" t="s">
        <v>32</v>
      </c>
      <c r="K625">
        <v>280</v>
      </c>
    </row>
    <row r="626" spans="1:11" x14ac:dyDescent="0.25">
      <c r="A626" s="2">
        <v>38534</v>
      </c>
      <c r="B626">
        <v>6</v>
      </c>
      <c r="C626" t="s">
        <v>136</v>
      </c>
      <c r="D626">
        <v>4</v>
      </c>
      <c r="E626" t="s">
        <v>140</v>
      </c>
      <c r="F626">
        <v>2</v>
      </c>
      <c r="G626" t="s">
        <v>60</v>
      </c>
      <c r="H626" t="s">
        <v>65</v>
      </c>
      <c r="I626" t="s">
        <v>59</v>
      </c>
      <c r="J626" t="s">
        <v>32</v>
      </c>
      <c r="K626">
        <v>100</v>
      </c>
    </row>
    <row r="627" spans="1:11" x14ac:dyDescent="0.25">
      <c r="A627" s="2">
        <v>38534</v>
      </c>
      <c r="B627">
        <v>6</v>
      </c>
      <c r="C627" t="s">
        <v>136</v>
      </c>
      <c r="D627">
        <v>4</v>
      </c>
      <c r="E627" t="s">
        <v>140</v>
      </c>
      <c r="F627">
        <v>1</v>
      </c>
      <c r="G627" t="s">
        <v>57</v>
      </c>
      <c r="H627" t="s">
        <v>65</v>
      </c>
      <c r="I627" t="s">
        <v>59</v>
      </c>
      <c r="J627" t="s">
        <v>32</v>
      </c>
      <c r="K627">
        <v>109</v>
      </c>
    </row>
    <row r="628" spans="1:11" x14ac:dyDescent="0.25">
      <c r="A628" s="2">
        <v>38534</v>
      </c>
      <c r="B628">
        <v>6</v>
      </c>
      <c r="C628" t="s">
        <v>136</v>
      </c>
      <c r="D628">
        <v>4</v>
      </c>
      <c r="E628" t="s">
        <v>140</v>
      </c>
      <c r="F628">
        <v>1</v>
      </c>
      <c r="G628" t="s">
        <v>57</v>
      </c>
      <c r="H628" t="s">
        <v>66</v>
      </c>
      <c r="I628" t="s">
        <v>59</v>
      </c>
      <c r="J628" t="s">
        <v>32</v>
      </c>
      <c r="K628">
        <v>82</v>
      </c>
    </row>
    <row r="629" spans="1:11" x14ac:dyDescent="0.25">
      <c r="A629" s="2">
        <v>38534</v>
      </c>
      <c r="B629">
        <v>6</v>
      </c>
      <c r="C629" t="s">
        <v>136</v>
      </c>
      <c r="D629">
        <v>4</v>
      </c>
      <c r="E629" t="s">
        <v>140</v>
      </c>
      <c r="F629">
        <v>2</v>
      </c>
      <c r="G629" t="s">
        <v>60</v>
      </c>
      <c r="H629" t="s">
        <v>66</v>
      </c>
      <c r="I629" t="s">
        <v>59</v>
      </c>
      <c r="J629" t="s">
        <v>32</v>
      </c>
      <c r="K629">
        <v>100</v>
      </c>
    </row>
    <row r="630" spans="1:11" x14ac:dyDescent="0.25">
      <c r="A630" s="2">
        <v>38534</v>
      </c>
      <c r="B630">
        <v>6</v>
      </c>
      <c r="C630" t="s">
        <v>136</v>
      </c>
      <c r="D630">
        <v>4</v>
      </c>
      <c r="E630" t="s">
        <v>140</v>
      </c>
      <c r="F630">
        <v>1</v>
      </c>
      <c r="G630" t="s">
        <v>57</v>
      </c>
      <c r="H630" t="s">
        <v>67</v>
      </c>
      <c r="I630" t="s">
        <v>59</v>
      </c>
      <c r="J630" t="s">
        <v>32</v>
      </c>
      <c r="K630">
        <v>24</v>
      </c>
    </row>
    <row r="631" spans="1:11" x14ac:dyDescent="0.25">
      <c r="A631" s="2">
        <v>38534</v>
      </c>
      <c r="B631">
        <v>6</v>
      </c>
      <c r="C631" t="s">
        <v>136</v>
      </c>
      <c r="D631">
        <v>4</v>
      </c>
      <c r="E631" t="s">
        <v>140</v>
      </c>
      <c r="F631">
        <v>1</v>
      </c>
      <c r="G631" t="s">
        <v>57</v>
      </c>
      <c r="H631" t="s">
        <v>68</v>
      </c>
      <c r="I631" t="s">
        <v>59</v>
      </c>
      <c r="J631" t="s">
        <v>32</v>
      </c>
      <c r="K631">
        <v>39</v>
      </c>
    </row>
    <row r="632" spans="1:11" x14ac:dyDescent="0.25">
      <c r="A632" s="2">
        <v>38534</v>
      </c>
      <c r="B632">
        <v>6</v>
      </c>
      <c r="C632" t="s">
        <v>136</v>
      </c>
      <c r="D632">
        <v>4</v>
      </c>
      <c r="E632" t="s">
        <v>140</v>
      </c>
      <c r="F632">
        <v>2</v>
      </c>
      <c r="G632" t="s">
        <v>60</v>
      </c>
      <c r="H632" t="s">
        <v>68</v>
      </c>
      <c r="I632" t="s">
        <v>59</v>
      </c>
      <c r="J632" t="s">
        <v>32</v>
      </c>
      <c r="K632">
        <v>50</v>
      </c>
    </row>
    <row r="633" spans="1:11" x14ac:dyDescent="0.25">
      <c r="A633" s="2">
        <v>38534</v>
      </c>
      <c r="B633">
        <v>6</v>
      </c>
      <c r="C633" t="s">
        <v>136</v>
      </c>
      <c r="D633">
        <v>4</v>
      </c>
      <c r="E633" t="s">
        <v>140</v>
      </c>
      <c r="F633">
        <v>2</v>
      </c>
      <c r="G633" t="s">
        <v>60</v>
      </c>
      <c r="H633" t="s">
        <v>69</v>
      </c>
      <c r="I633" t="s">
        <v>59</v>
      </c>
      <c r="J633" t="s">
        <v>32</v>
      </c>
      <c r="K633">
        <v>220</v>
      </c>
    </row>
    <row r="634" spans="1:11" x14ac:dyDescent="0.25">
      <c r="A634" s="2">
        <v>38534</v>
      </c>
      <c r="B634">
        <v>6</v>
      </c>
      <c r="C634" t="s">
        <v>136</v>
      </c>
      <c r="D634">
        <v>4</v>
      </c>
      <c r="E634" t="s">
        <v>140</v>
      </c>
      <c r="F634">
        <v>1</v>
      </c>
      <c r="G634" t="s">
        <v>57</v>
      </c>
      <c r="H634" t="s">
        <v>69</v>
      </c>
      <c r="I634" t="s">
        <v>59</v>
      </c>
      <c r="J634" t="s">
        <v>32</v>
      </c>
      <c r="K634">
        <v>157</v>
      </c>
    </row>
    <row r="635" spans="1:11" x14ac:dyDescent="0.25">
      <c r="A635" s="2">
        <v>38534</v>
      </c>
      <c r="B635">
        <v>6</v>
      </c>
      <c r="C635" t="s">
        <v>136</v>
      </c>
      <c r="D635">
        <v>4</v>
      </c>
      <c r="E635" t="s">
        <v>140</v>
      </c>
      <c r="F635">
        <v>1</v>
      </c>
      <c r="G635" t="s">
        <v>57</v>
      </c>
      <c r="H635" t="s">
        <v>70</v>
      </c>
      <c r="I635" t="s">
        <v>59</v>
      </c>
      <c r="J635" t="s">
        <v>32</v>
      </c>
      <c r="K635">
        <v>129</v>
      </c>
    </row>
    <row r="636" spans="1:11" x14ac:dyDescent="0.25">
      <c r="A636" s="2">
        <v>38534</v>
      </c>
      <c r="B636">
        <v>6</v>
      </c>
      <c r="C636" t="s">
        <v>136</v>
      </c>
      <c r="D636">
        <v>4</v>
      </c>
      <c r="E636" t="s">
        <v>140</v>
      </c>
      <c r="F636">
        <v>2</v>
      </c>
      <c r="G636" t="s">
        <v>60</v>
      </c>
      <c r="H636" t="s">
        <v>70</v>
      </c>
      <c r="I636" t="s">
        <v>59</v>
      </c>
      <c r="J636" t="s">
        <v>32</v>
      </c>
      <c r="K636">
        <v>200</v>
      </c>
    </row>
    <row r="637" spans="1:11" x14ac:dyDescent="0.25">
      <c r="A637" s="2">
        <v>38534</v>
      </c>
      <c r="B637">
        <v>6</v>
      </c>
      <c r="C637" t="s">
        <v>136</v>
      </c>
      <c r="D637">
        <v>4</v>
      </c>
      <c r="E637" t="s">
        <v>140</v>
      </c>
      <c r="F637">
        <v>2</v>
      </c>
      <c r="G637" t="s">
        <v>60</v>
      </c>
      <c r="H637" t="s">
        <v>71</v>
      </c>
      <c r="I637" t="s">
        <v>59</v>
      </c>
      <c r="J637" t="s">
        <v>32</v>
      </c>
      <c r="K637">
        <v>200</v>
      </c>
    </row>
    <row r="638" spans="1:11" x14ac:dyDescent="0.25">
      <c r="A638" s="2">
        <v>38534</v>
      </c>
      <c r="B638">
        <v>6</v>
      </c>
      <c r="C638" t="s">
        <v>136</v>
      </c>
      <c r="D638">
        <v>4</v>
      </c>
      <c r="E638" t="s">
        <v>140</v>
      </c>
      <c r="F638">
        <v>1</v>
      </c>
      <c r="G638" t="s">
        <v>57</v>
      </c>
      <c r="H638" t="s">
        <v>71</v>
      </c>
      <c r="I638" t="s">
        <v>59</v>
      </c>
      <c r="J638" t="s">
        <v>32</v>
      </c>
      <c r="K638">
        <v>191</v>
      </c>
    </row>
    <row r="639" spans="1:11" x14ac:dyDescent="0.25">
      <c r="A639" s="2">
        <v>38534</v>
      </c>
      <c r="B639">
        <v>6</v>
      </c>
      <c r="C639" t="s">
        <v>136</v>
      </c>
      <c r="D639">
        <v>4</v>
      </c>
      <c r="E639" t="s">
        <v>140</v>
      </c>
      <c r="F639">
        <v>1</v>
      </c>
      <c r="G639" t="s">
        <v>57</v>
      </c>
      <c r="H639" t="s">
        <v>72</v>
      </c>
      <c r="I639" t="s">
        <v>59</v>
      </c>
      <c r="J639" t="s">
        <v>32</v>
      </c>
      <c r="K639">
        <v>344</v>
      </c>
    </row>
    <row r="640" spans="1:11" x14ac:dyDescent="0.25">
      <c r="A640" s="2">
        <v>38534</v>
      </c>
      <c r="B640">
        <v>6</v>
      </c>
      <c r="C640" t="s">
        <v>136</v>
      </c>
      <c r="D640">
        <v>4</v>
      </c>
      <c r="E640" t="s">
        <v>140</v>
      </c>
      <c r="F640">
        <v>2</v>
      </c>
      <c r="G640" t="s">
        <v>60</v>
      </c>
      <c r="H640" t="s">
        <v>72</v>
      </c>
      <c r="I640" t="s">
        <v>59</v>
      </c>
      <c r="J640" t="s">
        <v>32</v>
      </c>
      <c r="K640">
        <v>380</v>
      </c>
    </row>
    <row r="641" spans="1:11" x14ac:dyDescent="0.25">
      <c r="A641" s="2">
        <v>38534</v>
      </c>
      <c r="B641">
        <v>6</v>
      </c>
      <c r="C641" t="s">
        <v>136</v>
      </c>
      <c r="D641">
        <v>4</v>
      </c>
      <c r="E641" t="s">
        <v>140</v>
      </c>
      <c r="F641">
        <v>2</v>
      </c>
      <c r="G641" t="s">
        <v>60</v>
      </c>
      <c r="H641" t="s">
        <v>73</v>
      </c>
      <c r="I641" t="s">
        <v>59</v>
      </c>
      <c r="J641" t="s">
        <v>32</v>
      </c>
      <c r="K641">
        <v>100</v>
      </c>
    </row>
    <row r="642" spans="1:11" x14ac:dyDescent="0.25">
      <c r="A642" s="2">
        <v>38534</v>
      </c>
      <c r="B642">
        <v>6</v>
      </c>
      <c r="C642" t="s">
        <v>136</v>
      </c>
      <c r="D642">
        <v>4</v>
      </c>
      <c r="E642" t="s">
        <v>140</v>
      </c>
      <c r="F642">
        <v>1</v>
      </c>
      <c r="G642" t="s">
        <v>57</v>
      </c>
      <c r="H642" t="s">
        <v>73</v>
      </c>
      <c r="I642" t="s">
        <v>59</v>
      </c>
      <c r="J642" t="s">
        <v>32</v>
      </c>
      <c r="K642">
        <v>104</v>
      </c>
    </row>
    <row r="643" spans="1:11" x14ac:dyDescent="0.25">
      <c r="A643" s="2">
        <v>38534</v>
      </c>
      <c r="B643">
        <v>6</v>
      </c>
      <c r="C643" t="s">
        <v>136</v>
      </c>
      <c r="D643">
        <v>4</v>
      </c>
      <c r="E643" t="s">
        <v>140</v>
      </c>
      <c r="F643">
        <v>1</v>
      </c>
      <c r="G643" t="s">
        <v>57</v>
      </c>
      <c r="H643" t="s">
        <v>74</v>
      </c>
      <c r="I643" t="s">
        <v>59</v>
      </c>
      <c r="J643" t="s">
        <v>32</v>
      </c>
      <c r="K643">
        <v>393</v>
      </c>
    </row>
    <row r="644" spans="1:11" x14ac:dyDescent="0.25">
      <c r="A644" s="2">
        <v>38534</v>
      </c>
      <c r="B644">
        <v>6</v>
      </c>
      <c r="C644" t="s">
        <v>136</v>
      </c>
      <c r="D644">
        <v>4</v>
      </c>
      <c r="E644" t="s">
        <v>140</v>
      </c>
      <c r="F644">
        <v>2</v>
      </c>
      <c r="G644" t="s">
        <v>60</v>
      </c>
      <c r="H644" t="s">
        <v>74</v>
      </c>
      <c r="I644" t="s">
        <v>59</v>
      </c>
      <c r="J644" t="s">
        <v>32</v>
      </c>
      <c r="K644">
        <v>380</v>
      </c>
    </row>
    <row r="645" spans="1:11" x14ac:dyDescent="0.25">
      <c r="A645" s="2">
        <v>38534</v>
      </c>
      <c r="B645">
        <v>6</v>
      </c>
      <c r="C645" t="s">
        <v>136</v>
      </c>
      <c r="D645">
        <v>4</v>
      </c>
      <c r="E645" t="s">
        <v>140</v>
      </c>
      <c r="F645">
        <v>2</v>
      </c>
      <c r="G645" t="s">
        <v>60</v>
      </c>
      <c r="H645" t="s">
        <v>75</v>
      </c>
      <c r="I645" t="s">
        <v>59</v>
      </c>
      <c r="J645" t="s">
        <v>32</v>
      </c>
      <c r="K645">
        <v>280</v>
      </c>
    </row>
    <row r="646" spans="1:11" x14ac:dyDescent="0.25">
      <c r="A646" s="2">
        <v>38534</v>
      </c>
      <c r="B646">
        <v>6</v>
      </c>
      <c r="C646" t="s">
        <v>136</v>
      </c>
      <c r="D646">
        <v>4</v>
      </c>
      <c r="E646" t="s">
        <v>140</v>
      </c>
      <c r="F646">
        <v>1</v>
      </c>
      <c r="G646" t="s">
        <v>57</v>
      </c>
      <c r="H646" t="s">
        <v>75</v>
      </c>
      <c r="I646" t="s">
        <v>59</v>
      </c>
      <c r="J646" t="s">
        <v>32</v>
      </c>
      <c r="K646">
        <v>243</v>
      </c>
    </row>
    <row r="647" spans="1:11" x14ac:dyDescent="0.25">
      <c r="A647" s="2">
        <v>38534</v>
      </c>
      <c r="B647">
        <v>6</v>
      </c>
      <c r="C647" t="s">
        <v>136</v>
      </c>
      <c r="D647">
        <v>4</v>
      </c>
      <c r="E647" t="s">
        <v>140</v>
      </c>
      <c r="F647">
        <v>1</v>
      </c>
      <c r="G647" t="s">
        <v>57</v>
      </c>
      <c r="H647" t="s">
        <v>76</v>
      </c>
      <c r="I647" t="s">
        <v>59</v>
      </c>
      <c r="J647" t="s">
        <v>32</v>
      </c>
      <c r="K647">
        <v>24</v>
      </c>
    </row>
    <row r="648" spans="1:11" x14ac:dyDescent="0.25">
      <c r="A648" s="2">
        <v>38534</v>
      </c>
      <c r="B648">
        <v>6</v>
      </c>
      <c r="C648" t="s">
        <v>136</v>
      </c>
      <c r="D648">
        <v>4</v>
      </c>
      <c r="E648" t="s">
        <v>140</v>
      </c>
      <c r="F648">
        <v>2</v>
      </c>
      <c r="G648" t="s">
        <v>60</v>
      </c>
      <c r="H648" t="s">
        <v>76</v>
      </c>
      <c r="I648" t="s">
        <v>59</v>
      </c>
      <c r="J648" t="s">
        <v>32</v>
      </c>
      <c r="K648">
        <v>30</v>
      </c>
    </row>
    <row r="649" spans="1:11" x14ac:dyDescent="0.25">
      <c r="A649" s="2">
        <v>38534</v>
      </c>
      <c r="B649">
        <v>6</v>
      </c>
      <c r="C649" t="s">
        <v>136</v>
      </c>
      <c r="D649">
        <v>4</v>
      </c>
      <c r="E649" t="s">
        <v>140</v>
      </c>
      <c r="F649">
        <v>2</v>
      </c>
      <c r="G649" t="s">
        <v>60</v>
      </c>
      <c r="H649" t="s">
        <v>77</v>
      </c>
      <c r="I649" t="s">
        <v>59</v>
      </c>
      <c r="J649" t="s">
        <v>32</v>
      </c>
      <c r="K649">
        <v>100</v>
      </c>
    </row>
    <row r="650" spans="1:11" x14ac:dyDescent="0.25">
      <c r="A650" s="2">
        <v>38534</v>
      </c>
      <c r="B650">
        <v>6</v>
      </c>
      <c r="C650" t="s">
        <v>136</v>
      </c>
      <c r="D650">
        <v>4</v>
      </c>
      <c r="E650" t="s">
        <v>140</v>
      </c>
      <c r="F650">
        <v>1</v>
      </c>
      <c r="G650" t="s">
        <v>57</v>
      </c>
      <c r="H650" t="s">
        <v>77</v>
      </c>
      <c r="I650" t="s">
        <v>59</v>
      </c>
      <c r="J650" t="s">
        <v>32</v>
      </c>
      <c r="K650">
        <v>84</v>
      </c>
    </row>
    <row r="651" spans="1:11" x14ac:dyDescent="0.25">
      <c r="A651" s="2">
        <v>38534</v>
      </c>
      <c r="B651">
        <v>6</v>
      </c>
      <c r="C651" t="s">
        <v>136</v>
      </c>
      <c r="D651">
        <v>4</v>
      </c>
      <c r="E651" t="s">
        <v>140</v>
      </c>
      <c r="F651">
        <v>1</v>
      </c>
      <c r="G651" t="s">
        <v>57</v>
      </c>
      <c r="H651" t="s">
        <v>78</v>
      </c>
      <c r="I651" t="s">
        <v>59</v>
      </c>
      <c r="J651" t="s">
        <v>32</v>
      </c>
      <c r="K651">
        <v>72</v>
      </c>
    </row>
    <row r="652" spans="1:11" x14ac:dyDescent="0.25">
      <c r="A652" s="2">
        <v>38534</v>
      </c>
      <c r="B652">
        <v>6</v>
      </c>
      <c r="C652" t="s">
        <v>136</v>
      </c>
      <c r="D652">
        <v>4</v>
      </c>
      <c r="E652" t="s">
        <v>140</v>
      </c>
      <c r="F652">
        <v>2</v>
      </c>
      <c r="G652" t="s">
        <v>60</v>
      </c>
      <c r="H652" t="s">
        <v>78</v>
      </c>
      <c r="I652" t="s">
        <v>59</v>
      </c>
      <c r="J652" t="s">
        <v>32</v>
      </c>
      <c r="K652">
        <v>90</v>
      </c>
    </row>
    <row r="653" spans="1:11" x14ac:dyDescent="0.25">
      <c r="A653" s="2">
        <v>38534</v>
      </c>
      <c r="B653">
        <v>6</v>
      </c>
      <c r="C653" t="s">
        <v>136</v>
      </c>
      <c r="D653">
        <v>4</v>
      </c>
      <c r="E653" t="s">
        <v>140</v>
      </c>
      <c r="F653">
        <v>2</v>
      </c>
      <c r="G653" t="s">
        <v>60</v>
      </c>
      <c r="H653" t="s">
        <v>79</v>
      </c>
      <c r="I653" t="s">
        <v>59</v>
      </c>
      <c r="J653" t="s">
        <v>32</v>
      </c>
      <c r="K653">
        <v>80</v>
      </c>
    </row>
    <row r="654" spans="1:11" x14ac:dyDescent="0.25">
      <c r="A654" s="2">
        <v>38534</v>
      </c>
      <c r="B654">
        <v>6</v>
      </c>
      <c r="C654" t="s">
        <v>136</v>
      </c>
      <c r="D654">
        <v>4</v>
      </c>
      <c r="E654" t="s">
        <v>140</v>
      </c>
      <c r="F654">
        <v>1</v>
      </c>
      <c r="G654" t="s">
        <v>57</v>
      </c>
      <c r="H654" t="s">
        <v>79</v>
      </c>
      <c r="I654" t="s">
        <v>59</v>
      </c>
      <c r="J654" t="s">
        <v>32</v>
      </c>
      <c r="K654">
        <v>67</v>
      </c>
    </row>
    <row r="655" spans="1:11" x14ac:dyDescent="0.25">
      <c r="A655" s="2">
        <v>38534</v>
      </c>
      <c r="B655">
        <v>6</v>
      </c>
      <c r="C655" t="s">
        <v>136</v>
      </c>
      <c r="D655">
        <v>4</v>
      </c>
      <c r="E655" t="s">
        <v>140</v>
      </c>
      <c r="F655">
        <v>1</v>
      </c>
      <c r="G655" t="s">
        <v>57</v>
      </c>
      <c r="H655" t="s">
        <v>80</v>
      </c>
      <c r="I655" t="s">
        <v>59</v>
      </c>
      <c r="J655" t="s">
        <v>32</v>
      </c>
      <c r="K655">
        <v>351</v>
      </c>
    </row>
    <row r="656" spans="1:11" x14ac:dyDescent="0.25">
      <c r="A656" s="2">
        <v>38534</v>
      </c>
      <c r="B656">
        <v>6</v>
      </c>
      <c r="C656" t="s">
        <v>136</v>
      </c>
      <c r="D656">
        <v>4</v>
      </c>
      <c r="E656" t="s">
        <v>140</v>
      </c>
      <c r="F656">
        <v>2</v>
      </c>
      <c r="G656" t="s">
        <v>60</v>
      </c>
      <c r="H656" t="s">
        <v>80</v>
      </c>
      <c r="I656" t="s">
        <v>59</v>
      </c>
      <c r="J656" t="s">
        <v>32</v>
      </c>
      <c r="K656">
        <v>380</v>
      </c>
    </row>
    <row r="657" spans="1:11" x14ac:dyDescent="0.25">
      <c r="A657" s="2">
        <v>38534</v>
      </c>
      <c r="B657">
        <v>6</v>
      </c>
      <c r="C657" t="s">
        <v>136</v>
      </c>
      <c r="D657">
        <v>4</v>
      </c>
      <c r="E657" t="s">
        <v>140</v>
      </c>
      <c r="F657">
        <v>1</v>
      </c>
      <c r="G657" t="s">
        <v>57</v>
      </c>
      <c r="H657" t="s">
        <v>81</v>
      </c>
      <c r="I657" t="s">
        <v>82</v>
      </c>
      <c r="J657" t="s">
        <v>32</v>
      </c>
      <c r="K657">
        <v>107</v>
      </c>
    </row>
    <row r="658" spans="1:11" x14ac:dyDescent="0.25">
      <c r="A658" s="2">
        <v>38534</v>
      </c>
      <c r="B658">
        <v>6</v>
      </c>
      <c r="C658" t="s">
        <v>136</v>
      </c>
      <c r="D658">
        <v>4</v>
      </c>
      <c r="E658" t="s">
        <v>140</v>
      </c>
      <c r="F658">
        <v>1</v>
      </c>
      <c r="G658" t="s">
        <v>57</v>
      </c>
      <c r="H658" t="s">
        <v>83</v>
      </c>
      <c r="I658" t="s">
        <v>59</v>
      </c>
      <c r="J658" t="s">
        <v>32</v>
      </c>
      <c r="K658">
        <v>165</v>
      </c>
    </row>
    <row r="659" spans="1:11" x14ac:dyDescent="0.25">
      <c r="A659" s="2">
        <v>38534</v>
      </c>
      <c r="B659">
        <v>6</v>
      </c>
      <c r="C659" t="s">
        <v>136</v>
      </c>
      <c r="D659">
        <v>4</v>
      </c>
      <c r="E659" t="s">
        <v>140</v>
      </c>
      <c r="F659">
        <v>1</v>
      </c>
      <c r="G659" t="s">
        <v>57</v>
      </c>
      <c r="H659" t="s">
        <v>84</v>
      </c>
      <c r="I659" t="s">
        <v>82</v>
      </c>
      <c r="J659" t="s">
        <v>32</v>
      </c>
      <c r="K659">
        <v>-132</v>
      </c>
    </row>
    <row r="660" spans="1:11" x14ac:dyDescent="0.25">
      <c r="A660" s="2">
        <v>38534</v>
      </c>
      <c r="B660">
        <v>6</v>
      </c>
      <c r="C660" t="s">
        <v>136</v>
      </c>
      <c r="D660">
        <v>4</v>
      </c>
      <c r="E660" t="s">
        <v>140</v>
      </c>
      <c r="F660">
        <v>1</v>
      </c>
      <c r="G660" t="s">
        <v>57</v>
      </c>
      <c r="H660" t="s">
        <v>85</v>
      </c>
      <c r="I660" t="s">
        <v>82</v>
      </c>
      <c r="J660" t="s">
        <v>32</v>
      </c>
      <c r="K660">
        <v>220</v>
      </c>
    </row>
    <row r="661" spans="1:11" x14ac:dyDescent="0.25">
      <c r="A661" s="2">
        <v>38534</v>
      </c>
      <c r="B661">
        <v>6</v>
      </c>
      <c r="C661" t="s">
        <v>136</v>
      </c>
      <c r="D661">
        <v>4</v>
      </c>
      <c r="E661" t="s">
        <v>140</v>
      </c>
      <c r="F661">
        <v>1</v>
      </c>
      <c r="G661" t="s">
        <v>57</v>
      </c>
      <c r="H661" t="s">
        <v>86</v>
      </c>
      <c r="I661" t="s">
        <v>59</v>
      </c>
      <c r="J661" t="s">
        <v>32</v>
      </c>
      <c r="K661">
        <v>55</v>
      </c>
    </row>
    <row r="662" spans="1:11" x14ac:dyDescent="0.25">
      <c r="A662" s="2">
        <v>38534</v>
      </c>
      <c r="B662">
        <v>6</v>
      </c>
      <c r="C662" t="s">
        <v>136</v>
      </c>
      <c r="D662">
        <v>4</v>
      </c>
      <c r="E662" t="s">
        <v>140</v>
      </c>
      <c r="F662">
        <v>1</v>
      </c>
      <c r="G662" t="s">
        <v>57</v>
      </c>
      <c r="H662" t="s">
        <v>87</v>
      </c>
      <c r="I662" t="s">
        <v>88</v>
      </c>
      <c r="J662" t="s">
        <v>89</v>
      </c>
      <c r="K662">
        <v>6</v>
      </c>
    </row>
    <row r="663" spans="1:11" x14ac:dyDescent="0.25">
      <c r="A663" s="2">
        <v>38534</v>
      </c>
      <c r="B663">
        <v>6</v>
      </c>
      <c r="C663" t="s">
        <v>136</v>
      </c>
      <c r="D663">
        <v>5</v>
      </c>
      <c r="E663" t="s">
        <v>141</v>
      </c>
      <c r="F663">
        <v>1</v>
      </c>
      <c r="G663" t="s">
        <v>57</v>
      </c>
      <c r="H663" t="s">
        <v>58</v>
      </c>
      <c r="I663" t="s">
        <v>59</v>
      </c>
      <c r="J663" t="s">
        <v>32</v>
      </c>
      <c r="K663">
        <v>9984</v>
      </c>
    </row>
    <row r="664" spans="1:11" x14ac:dyDescent="0.25">
      <c r="A664" s="2">
        <v>38534</v>
      </c>
      <c r="B664">
        <v>6</v>
      </c>
      <c r="C664" t="s">
        <v>136</v>
      </c>
      <c r="D664">
        <v>5</v>
      </c>
      <c r="E664" t="s">
        <v>141</v>
      </c>
      <c r="F664">
        <v>2</v>
      </c>
      <c r="G664" t="s">
        <v>60</v>
      </c>
      <c r="H664" t="s">
        <v>58</v>
      </c>
      <c r="I664" t="s">
        <v>59</v>
      </c>
      <c r="J664" t="s">
        <v>32</v>
      </c>
      <c r="K664">
        <v>9700</v>
      </c>
    </row>
    <row r="665" spans="1:11" x14ac:dyDescent="0.25">
      <c r="A665" s="2">
        <v>38534</v>
      </c>
      <c r="B665">
        <v>6</v>
      </c>
      <c r="C665" t="s">
        <v>136</v>
      </c>
      <c r="D665">
        <v>5</v>
      </c>
      <c r="E665" t="s">
        <v>141</v>
      </c>
      <c r="F665">
        <v>2</v>
      </c>
      <c r="G665" t="s">
        <v>60</v>
      </c>
      <c r="H665" t="s">
        <v>61</v>
      </c>
      <c r="I665" t="s">
        <v>59</v>
      </c>
      <c r="J665" t="s">
        <v>32</v>
      </c>
      <c r="K665">
        <v>850</v>
      </c>
    </row>
    <row r="666" spans="1:11" x14ac:dyDescent="0.25">
      <c r="A666" s="2">
        <v>38534</v>
      </c>
      <c r="B666">
        <v>6</v>
      </c>
      <c r="C666" t="s">
        <v>136</v>
      </c>
      <c r="D666">
        <v>5</v>
      </c>
      <c r="E666" t="s">
        <v>141</v>
      </c>
      <c r="F666">
        <v>1</v>
      </c>
      <c r="G666" t="s">
        <v>57</v>
      </c>
      <c r="H666" t="s">
        <v>61</v>
      </c>
      <c r="I666" t="s">
        <v>59</v>
      </c>
      <c r="J666" t="s">
        <v>32</v>
      </c>
      <c r="K666">
        <v>1098</v>
      </c>
    </row>
    <row r="667" spans="1:11" x14ac:dyDescent="0.25">
      <c r="A667" s="2">
        <v>38534</v>
      </c>
      <c r="B667">
        <v>6</v>
      </c>
      <c r="C667" t="s">
        <v>136</v>
      </c>
      <c r="D667">
        <v>5</v>
      </c>
      <c r="E667" t="s">
        <v>141</v>
      </c>
      <c r="F667">
        <v>1</v>
      </c>
      <c r="G667" t="s">
        <v>57</v>
      </c>
      <c r="H667" t="s">
        <v>62</v>
      </c>
      <c r="I667" t="s">
        <v>59</v>
      </c>
      <c r="J667" t="s">
        <v>32</v>
      </c>
      <c r="K667">
        <v>898</v>
      </c>
    </row>
    <row r="668" spans="1:11" x14ac:dyDescent="0.25">
      <c r="A668" s="2">
        <v>38534</v>
      </c>
      <c r="B668">
        <v>6</v>
      </c>
      <c r="C668" t="s">
        <v>136</v>
      </c>
      <c r="D668">
        <v>5</v>
      </c>
      <c r="E668" t="s">
        <v>141</v>
      </c>
      <c r="F668">
        <v>2</v>
      </c>
      <c r="G668" t="s">
        <v>60</v>
      </c>
      <c r="H668" t="s">
        <v>62</v>
      </c>
      <c r="I668" t="s">
        <v>59</v>
      </c>
      <c r="J668" t="s">
        <v>32</v>
      </c>
      <c r="K668">
        <v>750</v>
      </c>
    </row>
    <row r="669" spans="1:11" x14ac:dyDescent="0.25">
      <c r="A669" s="2">
        <v>38534</v>
      </c>
      <c r="B669">
        <v>6</v>
      </c>
      <c r="C669" t="s">
        <v>136</v>
      </c>
      <c r="D669">
        <v>5</v>
      </c>
      <c r="E669" t="s">
        <v>141</v>
      </c>
      <c r="F669">
        <v>2</v>
      </c>
      <c r="G669" t="s">
        <v>60</v>
      </c>
      <c r="H669" t="s">
        <v>63</v>
      </c>
      <c r="I669" t="s">
        <v>59</v>
      </c>
      <c r="J669" t="s">
        <v>32</v>
      </c>
      <c r="K669">
        <v>200</v>
      </c>
    </row>
    <row r="670" spans="1:11" x14ac:dyDescent="0.25">
      <c r="A670" s="2">
        <v>38534</v>
      </c>
      <c r="B670">
        <v>6</v>
      </c>
      <c r="C670" t="s">
        <v>136</v>
      </c>
      <c r="D670">
        <v>5</v>
      </c>
      <c r="E670" t="s">
        <v>141</v>
      </c>
      <c r="F670">
        <v>1</v>
      </c>
      <c r="G670" t="s">
        <v>57</v>
      </c>
      <c r="H670" t="s">
        <v>63</v>
      </c>
      <c r="I670" t="s">
        <v>59</v>
      </c>
      <c r="J670" t="s">
        <v>32</v>
      </c>
      <c r="K670">
        <v>198</v>
      </c>
    </row>
    <row r="671" spans="1:11" x14ac:dyDescent="0.25">
      <c r="A671" s="2">
        <v>38534</v>
      </c>
      <c r="B671">
        <v>6</v>
      </c>
      <c r="C671" t="s">
        <v>136</v>
      </c>
      <c r="D671">
        <v>5</v>
      </c>
      <c r="E671" t="s">
        <v>141</v>
      </c>
      <c r="F671">
        <v>1</v>
      </c>
      <c r="G671" t="s">
        <v>57</v>
      </c>
      <c r="H671" t="s">
        <v>64</v>
      </c>
      <c r="I671" t="s">
        <v>59</v>
      </c>
      <c r="J671" t="s">
        <v>32</v>
      </c>
      <c r="K671">
        <v>179</v>
      </c>
    </row>
    <row r="672" spans="1:11" x14ac:dyDescent="0.25">
      <c r="A672" s="2">
        <v>38534</v>
      </c>
      <c r="B672">
        <v>6</v>
      </c>
      <c r="C672" t="s">
        <v>136</v>
      </c>
      <c r="D672">
        <v>5</v>
      </c>
      <c r="E672" t="s">
        <v>141</v>
      </c>
      <c r="F672">
        <v>2</v>
      </c>
      <c r="G672" t="s">
        <v>60</v>
      </c>
      <c r="H672" t="s">
        <v>64</v>
      </c>
      <c r="I672" t="s">
        <v>59</v>
      </c>
      <c r="J672" t="s">
        <v>32</v>
      </c>
      <c r="K672">
        <v>100</v>
      </c>
    </row>
    <row r="673" spans="1:11" x14ac:dyDescent="0.25">
      <c r="A673" s="2">
        <v>38534</v>
      </c>
      <c r="B673">
        <v>6</v>
      </c>
      <c r="C673" t="s">
        <v>136</v>
      </c>
      <c r="D673">
        <v>5</v>
      </c>
      <c r="E673" t="s">
        <v>141</v>
      </c>
      <c r="F673">
        <v>2</v>
      </c>
      <c r="G673" t="s">
        <v>60</v>
      </c>
      <c r="H673" t="s">
        <v>65</v>
      </c>
      <c r="I673" t="s">
        <v>59</v>
      </c>
      <c r="J673" t="s">
        <v>32</v>
      </c>
      <c r="K673">
        <v>70</v>
      </c>
    </row>
    <row r="674" spans="1:11" x14ac:dyDescent="0.25">
      <c r="A674" s="2">
        <v>38534</v>
      </c>
      <c r="B674">
        <v>6</v>
      </c>
      <c r="C674" t="s">
        <v>136</v>
      </c>
      <c r="D674">
        <v>5</v>
      </c>
      <c r="E674" t="s">
        <v>141</v>
      </c>
      <c r="F674">
        <v>1</v>
      </c>
      <c r="G674" t="s">
        <v>57</v>
      </c>
      <c r="H674" t="s">
        <v>65</v>
      </c>
      <c r="I674" t="s">
        <v>59</v>
      </c>
      <c r="J674" t="s">
        <v>32</v>
      </c>
      <c r="K674">
        <v>88</v>
      </c>
    </row>
    <row r="675" spans="1:11" x14ac:dyDescent="0.25">
      <c r="A675" s="2">
        <v>38534</v>
      </c>
      <c r="B675">
        <v>6</v>
      </c>
      <c r="C675" t="s">
        <v>136</v>
      </c>
      <c r="D675">
        <v>5</v>
      </c>
      <c r="E675" t="s">
        <v>141</v>
      </c>
      <c r="F675">
        <v>1</v>
      </c>
      <c r="G675" t="s">
        <v>57</v>
      </c>
      <c r="H675" t="s">
        <v>66</v>
      </c>
      <c r="I675" t="s">
        <v>59</v>
      </c>
      <c r="J675" t="s">
        <v>32</v>
      </c>
      <c r="K675">
        <v>68</v>
      </c>
    </row>
    <row r="676" spans="1:11" x14ac:dyDescent="0.25">
      <c r="A676" s="2">
        <v>38534</v>
      </c>
      <c r="B676">
        <v>6</v>
      </c>
      <c r="C676" t="s">
        <v>136</v>
      </c>
      <c r="D676">
        <v>5</v>
      </c>
      <c r="E676" t="s">
        <v>141</v>
      </c>
      <c r="F676">
        <v>2</v>
      </c>
      <c r="G676" t="s">
        <v>60</v>
      </c>
      <c r="H676" t="s">
        <v>66</v>
      </c>
      <c r="I676" t="s">
        <v>59</v>
      </c>
      <c r="J676" t="s">
        <v>32</v>
      </c>
      <c r="K676">
        <v>60</v>
      </c>
    </row>
    <row r="677" spans="1:11" x14ac:dyDescent="0.25">
      <c r="A677" s="2">
        <v>38534</v>
      </c>
      <c r="B677">
        <v>6</v>
      </c>
      <c r="C677" t="s">
        <v>136</v>
      </c>
      <c r="D677">
        <v>5</v>
      </c>
      <c r="E677" t="s">
        <v>141</v>
      </c>
      <c r="F677">
        <v>1</v>
      </c>
      <c r="G677" t="s">
        <v>57</v>
      </c>
      <c r="H677" t="s">
        <v>67</v>
      </c>
      <c r="I677" t="s">
        <v>59</v>
      </c>
      <c r="J677" t="s">
        <v>32</v>
      </c>
      <c r="K677">
        <v>20</v>
      </c>
    </row>
    <row r="678" spans="1:11" x14ac:dyDescent="0.25">
      <c r="A678" s="2">
        <v>38534</v>
      </c>
      <c r="B678">
        <v>6</v>
      </c>
      <c r="C678" t="s">
        <v>136</v>
      </c>
      <c r="D678">
        <v>5</v>
      </c>
      <c r="E678" t="s">
        <v>141</v>
      </c>
      <c r="F678">
        <v>1</v>
      </c>
      <c r="G678" t="s">
        <v>57</v>
      </c>
      <c r="H678" t="s">
        <v>68</v>
      </c>
      <c r="I678" t="s">
        <v>59</v>
      </c>
      <c r="J678" t="s">
        <v>32</v>
      </c>
      <c r="K678">
        <v>18</v>
      </c>
    </row>
    <row r="679" spans="1:11" x14ac:dyDescent="0.25">
      <c r="A679" s="2">
        <v>38534</v>
      </c>
      <c r="B679">
        <v>6</v>
      </c>
      <c r="C679" t="s">
        <v>136</v>
      </c>
      <c r="D679">
        <v>5</v>
      </c>
      <c r="E679" t="s">
        <v>141</v>
      </c>
      <c r="F679">
        <v>2</v>
      </c>
      <c r="G679" t="s">
        <v>60</v>
      </c>
      <c r="H679" t="s">
        <v>68</v>
      </c>
      <c r="I679" t="s">
        <v>59</v>
      </c>
      <c r="J679" t="s">
        <v>32</v>
      </c>
      <c r="K679">
        <v>40</v>
      </c>
    </row>
    <row r="680" spans="1:11" x14ac:dyDescent="0.25">
      <c r="A680" s="2">
        <v>38534</v>
      </c>
      <c r="B680">
        <v>6</v>
      </c>
      <c r="C680" t="s">
        <v>136</v>
      </c>
      <c r="D680">
        <v>5</v>
      </c>
      <c r="E680" t="s">
        <v>141</v>
      </c>
      <c r="F680">
        <v>2</v>
      </c>
      <c r="G680" t="s">
        <v>60</v>
      </c>
      <c r="H680" t="s">
        <v>69</v>
      </c>
      <c r="I680" t="s">
        <v>59</v>
      </c>
      <c r="J680" t="s">
        <v>32</v>
      </c>
      <c r="K680">
        <v>120</v>
      </c>
    </row>
    <row r="681" spans="1:11" x14ac:dyDescent="0.25">
      <c r="A681" s="2">
        <v>38534</v>
      </c>
      <c r="B681">
        <v>6</v>
      </c>
      <c r="C681" t="s">
        <v>136</v>
      </c>
      <c r="D681">
        <v>5</v>
      </c>
      <c r="E681" t="s">
        <v>141</v>
      </c>
      <c r="F681">
        <v>1</v>
      </c>
      <c r="G681" t="s">
        <v>57</v>
      </c>
      <c r="H681" t="s">
        <v>69</v>
      </c>
      <c r="I681" t="s">
        <v>59</v>
      </c>
      <c r="J681" t="s">
        <v>32</v>
      </c>
      <c r="K681">
        <v>122</v>
      </c>
    </row>
    <row r="682" spans="1:11" x14ac:dyDescent="0.25">
      <c r="A682" s="2">
        <v>38534</v>
      </c>
      <c r="B682">
        <v>6</v>
      </c>
      <c r="C682" t="s">
        <v>136</v>
      </c>
      <c r="D682">
        <v>5</v>
      </c>
      <c r="E682" t="s">
        <v>141</v>
      </c>
      <c r="F682">
        <v>1</v>
      </c>
      <c r="G682" t="s">
        <v>57</v>
      </c>
      <c r="H682" t="s">
        <v>70</v>
      </c>
      <c r="I682" t="s">
        <v>59</v>
      </c>
      <c r="J682" t="s">
        <v>32</v>
      </c>
      <c r="K682">
        <v>148</v>
      </c>
    </row>
    <row r="683" spans="1:11" x14ac:dyDescent="0.25">
      <c r="A683" s="2">
        <v>38534</v>
      </c>
      <c r="B683">
        <v>6</v>
      </c>
      <c r="C683" t="s">
        <v>136</v>
      </c>
      <c r="D683">
        <v>5</v>
      </c>
      <c r="E683" t="s">
        <v>141</v>
      </c>
      <c r="F683">
        <v>2</v>
      </c>
      <c r="G683" t="s">
        <v>60</v>
      </c>
      <c r="H683" t="s">
        <v>70</v>
      </c>
      <c r="I683" t="s">
        <v>59</v>
      </c>
      <c r="J683" t="s">
        <v>32</v>
      </c>
      <c r="K683">
        <v>100</v>
      </c>
    </row>
    <row r="684" spans="1:11" x14ac:dyDescent="0.25">
      <c r="A684" s="2">
        <v>38534</v>
      </c>
      <c r="B684">
        <v>6</v>
      </c>
      <c r="C684" t="s">
        <v>136</v>
      </c>
      <c r="D684">
        <v>5</v>
      </c>
      <c r="E684" t="s">
        <v>141</v>
      </c>
      <c r="F684">
        <v>2</v>
      </c>
      <c r="G684" t="s">
        <v>60</v>
      </c>
      <c r="H684" t="s">
        <v>71</v>
      </c>
      <c r="I684" t="s">
        <v>59</v>
      </c>
      <c r="J684" t="s">
        <v>32</v>
      </c>
      <c r="K684">
        <v>100</v>
      </c>
    </row>
    <row r="685" spans="1:11" x14ac:dyDescent="0.25">
      <c r="A685" s="2">
        <v>38534</v>
      </c>
      <c r="B685">
        <v>6</v>
      </c>
      <c r="C685" t="s">
        <v>136</v>
      </c>
      <c r="D685">
        <v>5</v>
      </c>
      <c r="E685" t="s">
        <v>141</v>
      </c>
      <c r="F685">
        <v>1</v>
      </c>
      <c r="G685" t="s">
        <v>57</v>
      </c>
      <c r="H685" t="s">
        <v>71</v>
      </c>
      <c r="I685" t="s">
        <v>59</v>
      </c>
      <c r="J685" t="s">
        <v>32</v>
      </c>
      <c r="K685">
        <v>135</v>
      </c>
    </row>
    <row r="686" spans="1:11" x14ac:dyDescent="0.25">
      <c r="A686" s="2">
        <v>38534</v>
      </c>
      <c r="B686">
        <v>6</v>
      </c>
      <c r="C686" t="s">
        <v>136</v>
      </c>
      <c r="D686">
        <v>5</v>
      </c>
      <c r="E686" t="s">
        <v>141</v>
      </c>
      <c r="F686">
        <v>1</v>
      </c>
      <c r="G686" t="s">
        <v>57</v>
      </c>
      <c r="H686" t="s">
        <v>72</v>
      </c>
      <c r="I686" t="s">
        <v>59</v>
      </c>
      <c r="J686" t="s">
        <v>32</v>
      </c>
      <c r="K686">
        <v>243</v>
      </c>
    </row>
    <row r="687" spans="1:11" x14ac:dyDescent="0.25">
      <c r="A687" s="2">
        <v>38534</v>
      </c>
      <c r="B687">
        <v>6</v>
      </c>
      <c r="C687" t="s">
        <v>136</v>
      </c>
      <c r="D687">
        <v>5</v>
      </c>
      <c r="E687" t="s">
        <v>141</v>
      </c>
      <c r="F687">
        <v>2</v>
      </c>
      <c r="G687" t="s">
        <v>60</v>
      </c>
      <c r="H687" t="s">
        <v>72</v>
      </c>
      <c r="I687" t="s">
        <v>59</v>
      </c>
      <c r="J687" t="s">
        <v>32</v>
      </c>
      <c r="K687">
        <v>200</v>
      </c>
    </row>
    <row r="688" spans="1:11" x14ac:dyDescent="0.25">
      <c r="A688" s="2">
        <v>38534</v>
      </c>
      <c r="B688">
        <v>6</v>
      </c>
      <c r="C688" t="s">
        <v>136</v>
      </c>
      <c r="D688">
        <v>5</v>
      </c>
      <c r="E688" t="s">
        <v>141</v>
      </c>
      <c r="F688">
        <v>2</v>
      </c>
      <c r="G688" t="s">
        <v>60</v>
      </c>
      <c r="H688" t="s">
        <v>73</v>
      </c>
      <c r="I688" t="s">
        <v>59</v>
      </c>
      <c r="J688" t="s">
        <v>32</v>
      </c>
      <c r="K688">
        <v>70</v>
      </c>
    </row>
    <row r="689" spans="1:11" x14ac:dyDescent="0.25">
      <c r="A689" s="2">
        <v>38534</v>
      </c>
      <c r="B689">
        <v>6</v>
      </c>
      <c r="C689" t="s">
        <v>136</v>
      </c>
      <c r="D689">
        <v>5</v>
      </c>
      <c r="E689" t="s">
        <v>141</v>
      </c>
      <c r="F689">
        <v>1</v>
      </c>
      <c r="G689" t="s">
        <v>57</v>
      </c>
      <c r="H689" t="s">
        <v>73</v>
      </c>
      <c r="I689" t="s">
        <v>59</v>
      </c>
      <c r="J689" t="s">
        <v>32</v>
      </c>
      <c r="K689">
        <v>71</v>
      </c>
    </row>
    <row r="690" spans="1:11" x14ac:dyDescent="0.25">
      <c r="A690" s="2">
        <v>38534</v>
      </c>
      <c r="B690">
        <v>6</v>
      </c>
      <c r="C690" t="s">
        <v>136</v>
      </c>
      <c r="D690">
        <v>5</v>
      </c>
      <c r="E690" t="s">
        <v>141</v>
      </c>
      <c r="F690">
        <v>1</v>
      </c>
      <c r="G690" t="s">
        <v>57</v>
      </c>
      <c r="H690" t="s">
        <v>74</v>
      </c>
      <c r="I690" t="s">
        <v>59</v>
      </c>
      <c r="J690" t="s">
        <v>32</v>
      </c>
      <c r="K690">
        <v>262</v>
      </c>
    </row>
    <row r="691" spans="1:11" x14ac:dyDescent="0.25">
      <c r="A691" s="2">
        <v>38534</v>
      </c>
      <c r="B691">
        <v>6</v>
      </c>
      <c r="C691" t="s">
        <v>136</v>
      </c>
      <c r="D691">
        <v>5</v>
      </c>
      <c r="E691" t="s">
        <v>141</v>
      </c>
      <c r="F691">
        <v>2</v>
      </c>
      <c r="G691" t="s">
        <v>60</v>
      </c>
      <c r="H691" t="s">
        <v>74</v>
      </c>
      <c r="I691" t="s">
        <v>59</v>
      </c>
      <c r="J691" t="s">
        <v>32</v>
      </c>
      <c r="K691">
        <v>200</v>
      </c>
    </row>
    <row r="692" spans="1:11" x14ac:dyDescent="0.25">
      <c r="A692" s="2">
        <v>38534</v>
      </c>
      <c r="B692">
        <v>6</v>
      </c>
      <c r="C692" t="s">
        <v>136</v>
      </c>
      <c r="D692">
        <v>5</v>
      </c>
      <c r="E692" t="s">
        <v>141</v>
      </c>
      <c r="F692">
        <v>2</v>
      </c>
      <c r="G692" t="s">
        <v>60</v>
      </c>
      <c r="H692" t="s">
        <v>75</v>
      </c>
      <c r="I692" t="s">
        <v>59</v>
      </c>
      <c r="J692" t="s">
        <v>32</v>
      </c>
      <c r="K692">
        <v>200</v>
      </c>
    </row>
    <row r="693" spans="1:11" x14ac:dyDescent="0.25">
      <c r="A693" s="2">
        <v>38534</v>
      </c>
      <c r="B693">
        <v>6</v>
      </c>
      <c r="C693" t="s">
        <v>136</v>
      </c>
      <c r="D693">
        <v>5</v>
      </c>
      <c r="E693" t="s">
        <v>141</v>
      </c>
      <c r="F693">
        <v>1</v>
      </c>
      <c r="G693" t="s">
        <v>57</v>
      </c>
      <c r="H693" t="s">
        <v>75</v>
      </c>
      <c r="I693" t="s">
        <v>59</v>
      </c>
      <c r="J693" t="s">
        <v>32</v>
      </c>
      <c r="K693">
        <v>162</v>
      </c>
    </row>
    <row r="694" spans="1:11" x14ac:dyDescent="0.25">
      <c r="A694" s="2">
        <v>38534</v>
      </c>
      <c r="B694">
        <v>6</v>
      </c>
      <c r="C694" t="s">
        <v>136</v>
      </c>
      <c r="D694">
        <v>5</v>
      </c>
      <c r="E694" t="s">
        <v>141</v>
      </c>
      <c r="F694">
        <v>1</v>
      </c>
      <c r="G694" t="s">
        <v>57</v>
      </c>
      <c r="H694" t="s">
        <v>76</v>
      </c>
      <c r="I694" t="s">
        <v>59</v>
      </c>
      <c r="J694" t="s">
        <v>32</v>
      </c>
      <c r="K694">
        <v>16</v>
      </c>
    </row>
    <row r="695" spans="1:11" x14ac:dyDescent="0.25">
      <c r="A695" s="2">
        <v>38534</v>
      </c>
      <c r="B695">
        <v>6</v>
      </c>
      <c r="C695" t="s">
        <v>136</v>
      </c>
      <c r="D695">
        <v>5</v>
      </c>
      <c r="E695" t="s">
        <v>141</v>
      </c>
      <c r="F695">
        <v>2</v>
      </c>
      <c r="G695" t="s">
        <v>60</v>
      </c>
      <c r="H695" t="s">
        <v>76</v>
      </c>
      <c r="I695" t="s">
        <v>59</v>
      </c>
      <c r="J695" t="s">
        <v>32</v>
      </c>
      <c r="K695">
        <v>20</v>
      </c>
    </row>
    <row r="696" spans="1:11" x14ac:dyDescent="0.25">
      <c r="A696" s="2">
        <v>38534</v>
      </c>
      <c r="B696">
        <v>6</v>
      </c>
      <c r="C696" t="s">
        <v>136</v>
      </c>
      <c r="D696">
        <v>5</v>
      </c>
      <c r="E696" t="s">
        <v>141</v>
      </c>
      <c r="F696">
        <v>2</v>
      </c>
      <c r="G696" t="s">
        <v>60</v>
      </c>
      <c r="H696" t="s">
        <v>77</v>
      </c>
      <c r="I696" t="s">
        <v>59</v>
      </c>
      <c r="J696" t="s">
        <v>32</v>
      </c>
      <c r="K696">
        <v>50</v>
      </c>
    </row>
    <row r="697" spans="1:11" x14ac:dyDescent="0.25">
      <c r="A697" s="2">
        <v>38534</v>
      </c>
      <c r="B697">
        <v>6</v>
      </c>
      <c r="C697" t="s">
        <v>136</v>
      </c>
      <c r="D697">
        <v>5</v>
      </c>
      <c r="E697" t="s">
        <v>141</v>
      </c>
      <c r="F697">
        <v>1</v>
      </c>
      <c r="G697" t="s">
        <v>57</v>
      </c>
      <c r="H697" t="s">
        <v>77</v>
      </c>
      <c r="I697" t="s">
        <v>59</v>
      </c>
      <c r="J697" t="s">
        <v>32</v>
      </c>
      <c r="K697">
        <v>55</v>
      </c>
    </row>
    <row r="698" spans="1:11" x14ac:dyDescent="0.25">
      <c r="A698" s="2">
        <v>38534</v>
      </c>
      <c r="B698">
        <v>6</v>
      </c>
      <c r="C698" t="s">
        <v>136</v>
      </c>
      <c r="D698">
        <v>5</v>
      </c>
      <c r="E698" t="s">
        <v>141</v>
      </c>
      <c r="F698">
        <v>1</v>
      </c>
      <c r="G698" t="s">
        <v>57</v>
      </c>
      <c r="H698" t="s">
        <v>78</v>
      </c>
      <c r="I698" t="s">
        <v>59</v>
      </c>
      <c r="J698" t="s">
        <v>32</v>
      </c>
      <c r="K698">
        <v>47</v>
      </c>
    </row>
    <row r="699" spans="1:11" x14ac:dyDescent="0.25">
      <c r="A699" s="2">
        <v>38534</v>
      </c>
      <c r="B699">
        <v>6</v>
      </c>
      <c r="C699" t="s">
        <v>136</v>
      </c>
      <c r="D699">
        <v>5</v>
      </c>
      <c r="E699" t="s">
        <v>141</v>
      </c>
      <c r="F699">
        <v>2</v>
      </c>
      <c r="G699" t="s">
        <v>60</v>
      </c>
      <c r="H699" t="s">
        <v>78</v>
      </c>
      <c r="I699" t="s">
        <v>59</v>
      </c>
      <c r="J699" t="s">
        <v>32</v>
      </c>
      <c r="K699">
        <v>50</v>
      </c>
    </row>
    <row r="700" spans="1:11" x14ac:dyDescent="0.25">
      <c r="A700" s="2">
        <v>38534</v>
      </c>
      <c r="B700">
        <v>6</v>
      </c>
      <c r="C700" t="s">
        <v>136</v>
      </c>
      <c r="D700">
        <v>5</v>
      </c>
      <c r="E700" t="s">
        <v>141</v>
      </c>
      <c r="F700">
        <v>2</v>
      </c>
      <c r="G700" t="s">
        <v>60</v>
      </c>
      <c r="H700" t="s">
        <v>79</v>
      </c>
      <c r="I700" t="s">
        <v>59</v>
      </c>
      <c r="J700" t="s">
        <v>32</v>
      </c>
      <c r="K700">
        <v>40</v>
      </c>
    </row>
    <row r="701" spans="1:11" x14ac:dyDescent="0.25">
      <c r="A701" s="2">
        <v>38534</v>
      </c>
      <c r="B701">
        <v>6</v>
      </c>
      <c r="C701" t="s">
        <v>136</v>
      </c>
      <c r="D701">
        <v>5</v>
      </c>
      <c r="E701" t="s">
        <v>141</v>
      </c>
      <c r="F701">
        <v>1</v>
      </c>
      <c r="G701" t="s">
        <v>57</v>
      </c>
      <c r="H701" t="s">
        <v>79</v>
      </c>
      <c r="I701" t="s">
        <v>59</v>
      </c>
      <c r="J701" t="s">
        <v>32</v>
      </c>
      <c r="K701">
        <v>44</v>
      </c>
    </row>
    <row r="702" spans="1:11" x14ac:dyDescent="0.25">
      <c r="A702" s="2">
        <v>38534</v>
      </c>
      <c r="B702">
        <v>6</v>
      </c>
      <c r="C702" t="s">
        <v>136</v>
      </c>
      <c r="D702">
        <v>5</v>
      </c>
      <c r="E702" t="s">
        <v>141</v>
      </c>
      <c r="F702">
        <v>1</v>
      </c>
      <c r="G702" t="s">
        <v>57</v>
      </c>
      <c r="H702" t="s">
        <v>80</v>
      </c>
      <c r="I702" t="s">
        <v>59</v>
      </c>
      <c r="J702" t="s">
        <v>32</v>
      </c>
      <c r="K702">
        <v>234</v>
      </c>
    </row>
    <row r="703" spans="1:11" x14ac:dyDescent="0.25">
      <c r="A703" s="2">
        <v>38534</v>
      </c>
      <c r="B703">
        <v>6</v>
      </c>
      <c r="C703" t="s">
        <v>136</v>
      </c>
      <c r="D703">
        <v>5</v>
      </c>
      <c r="E703" t="s">
        <v>141</v>
      </c>
      <c r="F703">
        <v>2</v>
      </c>
      <c r="G703" t="s">
        <v>60</v>
      </c>
      <c r="H703" t="s">
        <v>80</v>
      </c>
      <c r="I703" t="s">
        <v>59</v>
      </c>
      <c r="J703" t="s">
        <v>32</v>
      </c>
      <c r="K703">
        <v>200</v>
      </c>
    </row>
    <row r="704" spans="1:11" x14ac:dyDescent="0.25">
      <c r="A704" s="2">
        <v>38534</v>
      </c>
      <c r="B704">
        <v>6</v>
      </c>
      <c r="C704" t="s">
        <v>136</v>
      </c>
      <c r="D704">
        <v>5</v>
      </c>
      <c r="E704" t="s">
        <v>141</v>
      </c>
      <c r="F704">
        <v>1</v>
      </c>
      <c r="G704" t="s">
        <v>57</v>
      </c>
      <c r="H704" t="s">
        <v>81</v>
      </c>
      <c r="I704" t="s">
        <v>82</v>
      </c>
      <c r="J704" t="s">
        <v>32</v>
      </c>
      <c r="K704">
        <v>71</v>
      </c>
    </row>
    <row r="705" spans="1:11" x14ac:dyDescent="0.25">
      <c r="A705" s="2">
        <v>38534</v>
      </c>
      <c r="B705">
        <v>6</v>
      </c>
      <c r="C705" t="s">
        <v>136</v>
      </c>
      <c r="D705">
        <v>5</v>
      </c>
      <c r="E705" t="s">
        <v>141</v>
      </c>
      <c r="F705">
        <v>1</v>
      </c>
      <c r="G705" t="s">
        <v>57</v>
      </c>
      <c r="H705" t="s">
        <v>83</v>
      </c>
      <c r="I705" t="s">
        <v>59</v>
      </c>
      <c r="J705" t="s">
        <v>32</v>
      </c>
      <c r="K705">
        <v>109</v>
      </c>
    </row>
    <row r="706" spans="1:11" x14ac:dyDescent="0.25">
      <c r="A706" s="2">
        <v>38534</v>
      </c>
      <c r="B706">
        <v>6</v>
      </c>
      <c r="C706" t="s">
        <v>136</v>
      </c>
      <c r="D706">
        <v>5</v>
      </c>
      <c r="E706" t="s">
        <v>141</v>
      </c>
      <c r="F706">
        <v>1</v>
      </c>
      <c r="G706" t="s">
        <v>57</v>
      </c>
      <c r="H706" t="s">
        <v>84</v>
      </c>
      <c r="I706" t="s">
        <v>82</v>
      </c>
      <c r="J706" t="s">
        <v>32</v>
      </c>
      <c r="K706">
        <v>-87</v>
      </c>
    </row>
    <row r="707" spans="1:11" x14ac:dyDescent="0.25">
      <c r="A707" s="2">
        <v>38534</v>
      </c>
      <c r="B707">
        <v>6</v>
      </c>
      <c r="C707" t="s">
        <v>136</v>
      </c>
      <c r="D707">
        <v>5</v>
      </c>
      <c r="E707" t="s">
        <v>141</v>
      </c>
      <c r="F707">
        <v>1</v>
      </c>
      <c r="G707" t="s">
        <v>57</v>
      </c>
      <c r="H707" t="s">
        <v>85</v>
      </c>
      <c r="I707" t="s">
        <v>82</v>
      </c>
      <c r="J707" t="s">
        <v>32</v>
      </c>
      <c r="K707">
        <v>145</v>
      </c>
    </row>
    <row r="708" spans="1:11" x14ac:dyDescent="0.25">
      <c r="A708" s="2">
        <v>38534</v>
      </c>
      <c r="B708">
        <v>6</v>
      </c>
      <c r="C708" t="s">
        <v>136</v>
      </c>
      <c r="D708">
        <v>5</v>
      </c>
      <c r="E708" t="s">
        <v>141</v>
      </c>
      <c r="F708">
        <v>1</v>
      </c>
      <c r="G708" t="s">
        <v>57</v>
      </c>
      <c r="H708" t="s">
        <v>86</v>
      </c>
      <c r="I708" t="s">
        <v>59</v>
      </c>
      <c r="J708" t="s">
        <v>32</v>
      </c>
      <c r="K708">
        <v>36</v>
      </c>
    </row>
    <row r="709" spans="1:11" x14ac:dyDescent="0.25">
      <c r="A709" s="2">
        <v>38534</v>
      </c>
      <c r="B709">
        <v>6</v>
      </c>
      <c r="C709" t="s">
        <v>136</v>
      </c>
      <c r="D709">
        <v>5</v>
      </c>
      <c r="E709" t="s">
        <v>141</v>
      </c>
      <c r="F709">
        <v>1</v>
      </c>
      <c r="G709" t="s">
        <v>57</v>
      </c>
      <c r="H709" t="s">
        <v>87</v>
      </c>
      <c r="I709" t="s">
        <v>88</v>
      </c>
      <c r="J709" t="s">
        <v>89</v>
      </c>
      <c r="K709">
        <v>4</v>
      </c>
    </row>
    <row r="710" spans="1:11" x14ac:dyDescent="0.25">
      <c r="A710" s="2">
        <v>38534</v>
      </c>
      <c r="B710">
        <v>6</v>
      </c>
      <c r="C710" t="s">
        <v>136</v>
      </c>
      <c r="D710">
        <v>6</v>
      </c>
      <c r="E710" t="s">
        <v>93</v>
      </c>
      <c r="F710">
        <v>1</v>
      </c>
      <c r="G710" t="s">
        <v>57</v>
      </c>
      <c r="H710" t="s">
        <v>94</v>
      </c>
      <c r="I710" t="s">
        <v>82</v>
      </c>
      <c r="J710" t="s">
        <v>32</v>
      </c>
      <c r="K710">
        <v>8772</v>
      </c>
    </row>
    <row r="711" spans="1:11" x14ac:dyDescent="0.25">
      <c r="A711" s="2">
        <v>38534</v>
      </c>
      <c r="B711">
        <v>6</v>
      </c>
      <c r="C711" t="s">
        <v>136</v>
      </c>
      <c r="D711">
        <v>6</v>
      </c>
      <c r="E711" t="s">
        <v>93</v>
      </c>
      <c r="F711">
        <v>2</v>
      </c>
      <c r="G711" t="s">
        <v>60</v>
      </c>
      <c r="H711" t="s">
        <v>94</v>
      </c>
      <c r="I711" t="s">
        <v>82</v>
      </c>
      <c r="J711" t="s">
        <v>32</v>
      </c>
      <c r="K711">
        <v>8300</v>
      </c>
    </row>
    <row r="712" spans="1:11" x14ac:dyDescent="0.25">
      <c r="A712" s="2">
        <v>38534</v>
      </c>
      <c r="B712">
        <v>6</v>
      </c>
      <c r="C712" t="s">
        <v>136</v>
      </c>
      <c r="D712">
        <v>6</v>
      </c>
      <c r="E712" t="s">
        <v>93</v>
      </c>
      <c r="F712">
        <v>2</v>
      </c>
      <c r="G712" t="s">
        <v>60</v>
      </c>
      <c r="H712" t="s">
        <v>95</v>
      </c>
      <c r="I712" t="s">
        <v>59</v>
      </c>
      <c r="J712" t="s">
        <v>32</v>
      </c>
      <c r="K712">
        <v>4100</v>
      </c>
    </row>
    <row r="713" spans="1:11" x14ac:dyDescent="0.25">
      <c r="A713" s="2">
        <v>38534</v>
      </c>
      <c r="B713">
        <v>6</v>
      </c>
      <c r="C713" t="s">
        <v>136</v>
      </c>
      <c r="D713">
        <v>6</v>
      </c>
      <c r="E713" t="s">
        <v>93</v>
      </c>
      <c r="F713">
        <v>1</v>
      </c>
      <c r="G713" t="s">
        <v>57</v>
      </c>
      <c r="H713" t="s">
        <v>95</v>
      </c>
      <c r="I713" t="s">
        <v>59</v>
      </c>
      <c r="J713" t="s">
        <v>32</v>
      </c>
      <c r="K713">
        <v>3759</v>
      </c>
    </row>
    <row r="714" spans="1:11" x14ac:dyDescent="0.25">
      <c r="A714" s="2">
        <v>38534</v>
      </c>
      <c r="B714">
        <v>6</v>
      </c>
      <c r="C714" t="s">
        <v>136</v>
      </c>
      <c r="D714">
        <v>6</v>
      </c>
      <c r="E714" t="s">
        <v>93</v>
      </c>
      <c r="F714">
        <v>1</v>
      </c>
      <c r="G714" t="s">
        <v>57</v>
      </c>
      <c r="H714" t="s">
        <v>96</v>
      </c>
      <c r="I714" t="s">
        <v>59</v>
      </c>
      <c r="J714" t="s">
        <v>32</v>
      </c>
      <c r="K714">
        <v>47208</v>
      </c>
    </row>
    <row r="715" spans="1:11" x14ac:dyDescent="0.25">
      <c r="A715" s="2">
        <v>38534</v>
      </c>
      <c r="B715">
        <v>6</v>
      </c>
      <c r="C715" t="s">
        <v>136</v>
      </c>
      <c r="D715">
        <v>6</v>
      </c>
      <c r="E715" t="s">
        <v>93</v>
      </c>
      <c r="F715">
        <v>2</v>
      </c>
      <c r="G715" t="s">
        <v>60</v>
      </c>
      <c r="H715" t="s">
        <v>96</v>
      </c>
      <c r="I715" t="s">
        <v>59</v>
      </c>
      <c r="J715" t="s">
        <v>32</v>
      </c>
      <c r="K715">
        <v>40600</v>
      </c>
    </row>
    <row r="716" spans="1:11" x14ac:dyDescent="0.25">
      <c r="A716" s="2">
        <v>38534</v>
      </c>
      <c r="B716">
        <v>6</v>
      </c>
      <c r="C716" t="s">
        <v>136</v>
      </c>
      <c r="D716">
        <v>6</v>
      </c>
      <c r="E716" t="s">
        <v>93</v>
      </c>
      <c r="F716">
        <v>2</v>
      </c>
      <c r="G716" t="s">
        <v>60</v>
      </c>
      <c r="H716" t="s">
        <v>97</v>
      </c>
      <c r="I716" t="s">
        <v>59</v>
      </c>
      <c r="J716" t="s">
        <v>32</v>
      </c>
      <c r="K716">
        <v>6700</v>
      </c>
    </row>
    <row r="717" spans="1:11" x14ac:dyDescent="0.25">
      <c r="A717" s="2">
        <v>38534</v>
      </c>
      <c r="B717">
        <v>6</v>
      </c>
      <c r="C717" t="s">
        <v>136</v>
      </c>
      <c r="D717">
        <v>6</v>
      </c>
      <c r="E717" t="s">
        <v>93</v>
      </c>
      <c r="F717">
        <v>1</v>
      </c>
      <c r="G717" t="s">
        <v>57</v>
      </c>
      <c r="H717" t="s">
        <v>97</v>
      </c>
      <c r="I717" t="s">
        <v>59</v>
      </c>
      <c r="J717" t="s">
        <v>32</v>
      </c>
      <c r="K717">
        <v>4177</v>
      </c>
    </row>
    <row r="718" spans="1:11" x14ac:dyDescent="0.25">
      <c r="A718" s="2">
        <v>38534</v>
      </c>
      <c r="B718">
        <v>6</v>
      </c>
      <c r="C718" t="s">
        <v>136</v>
      </c>
      <c r="D718">
        <v>6</v>
      </c>
      <c r="E718" t="s">
        <v>93</v>
      </c>
      <c r="F718">
        <v>1</v>
      </c>
      <c r="G718" t="s">
        <v>57</v>
      </c>
      <c r="H718" t="s">
        <v>58</v>
      </c>
      <c r="I718" t="s">
        <v>59</v>
      </c>
      <c r="J718" t="s">
        <v>32</v>
      </c>
      <c r="K718">
        <v>17108</v>
      </c>
    </row>
    <row r="719" spans="1:11" x14ac:dyDescent="0.25">
      <c r="A719" s="2">
        <v>38534</v>
      </c>
      <c r="B719">
        <v>6</v>
      </c>
      <c r="C719" t="s">
        <v>136</v>
      </c>
      <c r="D719">
        <v>6</v>
      </c>
      <c r="E719" t="s">
        <v>93</v>
      </c>
      <c r="F719">
        <v>2</v>
      </c>
      <c r="G719" t="s">
        <v>60</v>
      </c>
      <c r="H719" t="s">
        <v>58</v>
      </c>
      <c r="I719" t="s">
        <v>59</v>
      </c>
      <c r="J719" t="s">
        <v>32</v>
      </c>
      <c r="K719">
        <v>18000</v>
      </c>
    </row>
    <row r="720" spans="1:11" x14ac:dyDescent="0.25">
      <c r="A720" s="2">
        <v>38534</v>
      </c>
      <c r="B720">
        <v>6</v>
      </c>
      <c r="C720" t="s">
        <v>136</v>
      </c>
      <c r="D720">
        <v>6</v>
      </c>
      <c r="E720" t="s">
        <v>93</v>
      </c>
      <c r="F720">
        <v>2</v>
      </c>
      <c r="G720" t="s">
        <v>60</v>
      </c>
      <c r="H720" t="s">
        <v>61</v>
      </c>
      <c r="I720" t="s">
        <v>59</v>
      </c>
      <c r="J720" t="s">
        <v>32</v>
      </c>
      <c r="K720">
        <v>1500</v>
      </c>
    </row>
    <row r="721" spans="1:11" x14ac:dyDescent="0.25">
      <c r="A721" s="2">
        <v>38534</v>
      </c>
      <c r="B721">
        <v>6</v>
      </c>
      <c r="C721" t="s">
        <v>136</v>
      </c>
      <c r="D721">
        <v>6</v>
      </c>
      <c r="E721" t="s">
        <v>93</v>
      </c>
      <c r="F721">
        <v>1</v>
      </c>
      <c r="G721" t="s">
        <v>57</v>
      </c>
      <c r="H721" t="s">
        <v>61</v>
      </c>
      <c r="I721" t="s">
        <v>59</v>
      </c>
      <c r="J721" t="s">
        <v>32</v>
      </c>
      <c r="K721">
        <v>1539</v>
      </c>
    </row>
    <row r="722" spans="1:11" x14ac:dyDescent="0.25">
      <c r="A722" s="2">
        <v>38534</v>
      </c>
      <c r="B722">
        <v>6</v>
      </c>
      <c r="C722" t="s">
        <v>136</v>
      </c>
      <c r="D722">
        <v>6</v>
      </c>
      <c r="E722" t="s">
        <v>93</v>
      </c>
      <c r="F722">
        <v>1</v>
      </c>
      <c r="G722" t="s">
        <v>57</v>
      </c>
      <c r="H722" t="s">
        <v>62</v>
      </c>
      <c r="I722" t="s">
        <v>59</v>
      </c>
      <c r="J722" t="s">
        <v>32</v>
      </c>
      <c r="K722">
        <v>1368</v>
      </c>
    </row>
    <row r="723" spans="1:11" x14ac:dyDescent="0.25">
      <c r="A723" s="2">
        <v>38534</v>
      </c>
      <c r="B723">
        <v>6</v>
      </c>
      <c r="C723" t="s">
        <v>136</v>
      </c>
      <c r="D723">
        <v>6</v>
      </c>
      <c r="E723" t="s">
        <v>93</v>
      </c>
      <c r="F723">
        <v>2</v>
      </c>
      <c r="G723" t="s">
        <v>60</v>
      </c>
      <c r="H723" t="s">
        <v>62</v>
      </c>
      <c r="I723" t="s">
        <v>59</v>
      </c>
      <c r="J723" t="s">
        <v>32</v>
      </c>
      <c r="K723">
        <v>1400</v>
      </c>
    </row>
    <row r="724" spans="1:11" x14ac:dyDescent="0.25">
      <c r="A724" s="2">
        <v>38534</v>
      </c>
      <c r="B724">
        <v>6</v>
      </c>
      <c r="C724" t="s">
        <v>136</v>
      </c>
      <c r="D724">
        <v>6</v>
      </c>
      <c r="E724" t="s">
        <v>93</v>
      </c>
      <c r="F724">
        <v>2</v>
      </c>
      <c r="G724" t="s">
        <v>60</v>
      </c>
      <c r="H724" t="s">
        <v>98</v>
      </c>
      <c r="I724" t="s">
        <v>59</v>
      </c>
      <c r="J724" t="s">
        <v>32</v>
      </c>
      <c r="K724">
        <v>6900</v>
      </c>
    </row>
    <row r="725" spans="1:11" x14ac:dyDescent="0.25">
      <c r="A725" s="2">
        <v>38534</v>
      </c>
      <c r="B725">
        <v>6</v>
      </c>
      <c r="C725" t="s">
        <v>136</v>
      </c>
      <c r="D725">
        <v>6</v>
      </c>
      <c r="E725" t="s">
        <v>93</v>
      </c>
      <c r="F725">
        <v>1</v>
      </c>
      <c r="G725" t="s">
        <v>57</v>
      </c>
      <c r="H725" t="s">
        <v>98</v>
      </c>
      <c r="I725" t="s">
        <v>59</v>
      </c>
      <c r="J725" t="s">
        <v>32</v>
      </c>
      <c r="K725">
        <v>2443</v>
      </c>
    </row>
    <row r="726" spans="1:11" x14ac:dyDescent="0.25">
      <c r="A726" s="2">
        <v>38534</v>
      </c>
      <c r="B726">
        <v>6</v>
      </c>
      <c r="C726" t="s">
        <v>136</v>
      </c>
      <c r="D726">
        <v>6</v>
      </c>
      <c r="E726" t="s">
        <v>93</v>
      </c>
      <c r="F726">
        <v>1</v>
      </c>
      <c r="G726" t="s">
        <v>57</v>
      </c>
      <c r="H726" t="s">
        <v>63</v>
      </c>
      <c r="I726" t="s">
        <v>59</v>
      </c>
      <c r="J726" t="s">
        <v>32</v>
      </c>
      <c r="K726">
        <v>314</v>
      </c>
    </row>
    <row r="727" spans="1:11" x14ac:dyDescent="0.25">
      <c r="A727" s="2">
        <v>38534</v>
      </c>
      <c r="B727">
        <v>6</v>
      </c>
      <c r="C727" t="s">
        <v>136</v>
      </c>
      <c r="D727">
        <v>6</v>
      </c>
      <c r="E727" t="s">
        <v>93</v>
      </c>
      <c r="F727">
        <v>2</v>
      </c>
      <c r="G727" t="s">
        <v>60</v>
      </c>
      <c r="H727" t="s">
        <v>63</v>
      </c>
      <c r="I727" t="s">
        <v>59</v>
      </c>
      <c r="J727" t="s">
        <v>32</v>
      </c>
      <c r="K727">
        <v>280</v>
      </c>
    </row>
    <row r="728" spans="1:11" x14ac:dyDescent="0.25">
      <c r="A728" s="2">
        <v>38534</v>
      </c>
      <c r="B728">
        <v>6</v>
      </c>
      <c r="C728" t="s">
        <v>136</v>
      </c>
      <c r="D728">
        <v>6</v>
      </c>
      <c r="E728" t="s">
        <v>93</v>
      </c>
      <c r="F728">
        <v>2</v>
      </c>
      <c r="G728" t="s">
        <v>60</v>
      </c>
      <c r="H728" t="s">
        <v>64</v>
      </c>
      <c r="I728" t="s">
        <v>59</v>
      </c>
      <c r="J728" t="s">
        <v>32</v>
      </c>
      <c r="K728">
        <v>280</v>
      </c>
    </row>
    <row r="729" spans="1:11" x14ac:dyDescent="0.25">
      <c r="A729" s="2">
        <v>38534</v>
      </c>
      <c r="B729">
        <v>6</v>
      </c>
      <c r="C729" t="s">
        <v>136</v>
      </c>
      <c r="D729">
        <v>6</v>
      </c>
      <c r="E729" t="s">
        <v>93</v>
      </c>
      <c r="F729">
        <v>1</v>
      </c>
      <c r="G729" t="s">
        <v>57</v>
      </c>
      <c r="H729" t="s">
        <v>64</v>
      </c>
      <c r="I729" t="s">
        <v>59</v>
      </c>
      <c r="J729" t="s">
        <v>32</v>
      </c>
      <c r="K729">
        <v>285</v>
      </c>
    </row>
    <row r="730" spans="1:11" x14ac:dyDescent="0.25">
      <c r="A730" s="2">
        <v>38534</v>
      </c>
      <c r="B730">
        <v>6</v>
      </c>
      <c r="C730" t="s">
        <v>136</v>
      </c>
      <c r="D730">
        <v>6</v>
      </c>
      <c r="E730" t="s">
        <v>93</v>
      </c>
      <c r="F730">
        <v>1</v>
      </c>
      <c r="G730" t="s">
        <v>57</v>
      </c>
      <c r="H730" t="s">
        <v>65</v>
      </c>
      <c r="I730" t="s">
        <v>59</v>
      </c>
      <c r="J730" t="s">
        <v>32</v>
      </c>
      <c r="K730">
        <v>146</v>
      </c>
    </row>
    <row r="731" spans="1:11" x14ac:dyDescent="0.25">
      <c r="A731" s="2">
        <v>38534</v>
      </c>
      <c r="B731">
        <v>6</v>
      </c>
      <c r="C731" t="s">
        <v>136</v>
      </c>
      <c r="D731">
        <v>6</v>
      </c>
      <c r="E731" t="s">
        <v>93</v>
      </c>
      <c r="F731">
        <v>2</v>
      </c>
      <c r="G731" t="s">
        <v>60</v>
      </c>
      <c r="H731" t="s">
        <v>65</v>
      </c>
      <c r="I731" t="s">
        <v>59</v>
      </c>
      <c r="J731" t="s">
        <v>32</v>
      </c>
      <c r="K731">
        <v>200</v>
      </c>
    </row>
    <row r="732" spans="1:11" x14ac:dyDescent="0.25">
      <c r="A732" s="2">
        <v>38534</v>
      </c>
      <c r="B732">
        <v>6</v>
      </c>
      <c r="C732" t="s">
        <v>136</v>
      </c>
      <c r="D732">
        <v>6</v>
      </c>
      <c r="E732" t="s">
        <v>93</v>
      </c>
      <c r="F732">
        <v>2</v>
      </c>
      <c r="G732" t="s">
        <v>60</v>
      </c>
      <c r="H732" t="s">
        <v>66</v>
      </c>
      <c r="I732" t="s">
        <v>59</v>
      </c>
      <c r="J732" t="s">
        <v>32</v>
      </c>
      <c r="K732">
        <v>100</v>
      </c>
    </row>
    <row r="733" spans="1:11" x14ac:dyDescent="0.25">
      <c r="A733" s="2">
        <v>38534</v>
      </c>
      <c r="B733">
        <v>6</v>
      </c>
      <c r="C733" t="s">
        <v>136</v>
      </c>
      <c r="D733">
        <v>6</v>
      </c>
      <c r="E733" t="s">
        <v>93</v>
      </c>
      <c r="F733">
        <v>1</v>
      </c>
      <c r="G733" t="s">
        <v>57</v>
      </c>
      <c r="H733" t="s">
        <v>66</v>
      </c>
      <c r="I733" t="s">
        <v>59</v>
      </c>
      <c r="J733" t="s">
        <v>32</v>
      </c>
      <c r="K733">
        <v>109</v>
      </c>
    </row>
    <row r="734" spans="1:11" x14ac:dyDescent="0.25">
      <c r="A734" s="2">
        <v>38534</v>
      </c>
      <c r="B734">
        <v>6</v>
      </c>
      <c r="C734" t="s">
        <v>136</v>
      </c>
      <c r="D734">
        <v>6</v>
      </c>
      <c r="E734" t="s">
        <v>93</v>
      </c>
      <c r="F734">
        <v>1</v>
      </c>
      <c r="G734" t="s">
        <v>57</v>
      </c>
      <c r="H734" t="s">
        <v>67</v>
      </c>
      <c r="I734" t="s">
        <v>59</v>
      </c>
      <c r="J734" t="s">
        <v>32</v>
      </c>
      <c r="K734">
        <v>31</v>
      </c>
    </row>
    <row r="735" spans="1:11" x14ac:dyDescent="0.25">
      <c r="A735" s="2">
        <v>38534</v>
      </c>
      <c r="B735">
        <v>6</v>
      </c>
      <c r="C735" t="s">
        <v>136</v>
      </c>
      <c r="D735">
        <v>6</v>
      </c>
      <c r="E735" t="s">
        <v>93</v>
      </c>
      <c r="F735">
        <v>1</v>
      </c>
      <c r="G735" t="s">
        <v>57</v>
      </c>
      <c r="H735" t="s">
        <v>68</v>
      </c>
      <c r="I735" t="s">
        <v>59</v>
      </c>
      <c r="J735" t="s">
        <v>32</v>
      </c>
      <c r="K735">
        <v>36</v>
      </c>
    </row>
    <row r="736" spans="1:11" x14ac:dyDescent="0.25">
      <c r="A736" s="2">
        <v>38534</v>
      </c>
      <c r="B736">
        <v>6</v>
      </c>
      <c r="C736" t="s">
        <v>136</v>
      </c>
      <c r="D736">
        <v>6</v>
      </c>
      <c r="E736" t="s">
        <v>93</v>
      </c>
      <c r="F736">
        <v>2</v>
      </c>
      <c r="G736" t="s">
        <v>60</v>
      </c>
      <c r="H736" t="s">
        <v>68</v>
      </c>
      <c r="I736" t="s">
        <v>59</v>
      </c>
      <c r="J736" t="s">
        <v>32</v>
      </c>
      <c r="K736">
        <v>50</v>
      </c>
    </row>
    <row r="737" spans="1:11" x14ac:dyDescent="0.25">
      <c r="A737" s="2">
        <v>38534</v>
      </c>
      <c r="B737">
        <v>6</v>
      </c>
      <c r="C737" t="s">
        <v>136</v>
      </c>
      <c r="D737">
        <v>6</v>
      </c>
      <c r="E737" t="s">
        <v>93</v>
      </c>
      <c r="F737">
        <v>2</v>
      </c>
      <c r="G737" t="s">
        <v>60</v>
      </c>
      <c r="H737" t="s">
        <v>99</v>
      </c>
      <c r="I737" t="s">
        <v>59</v>
      </c>
      <c r="J737" t="s">
        <v>32</v>
      </c>
      <c r="K737">
        <v>550</v>
      </c>
    </row>
    <row r="738" spans="1:11" x14ac:dyDescent="0.25">
      <c r="A738" s="2">
        <v>38534</v>
      </c>
      <c r="B738">
        <v>6</v>
      </c>
      <c r="C738" t="s">
        <v>136</v>
      </c>
      <c r="D738">
        <v>6</v>
      </c>
      <c r="E738" t="s">
        <v>93</v>
      </c>
      <c r="F738">
        <v>1</v>
      </c>
      <c r="G738" t="s">
        <v>57</v>
      </c>
      <c r="H738" t="s">
        <v>99</v>
      </c>
      <c r="I738" t="s">
        <v>59</v>
      </c>
      <c r="J738" t="s">
        <v>32</v>
      </c>
      <c r="K738">
        <v>244</v>
      </c>
    </row>
    <row r="739" spans="1:11" x14ac:dyDescent="0.25">
      <c r="A739" s="2">
        <v>38534</v>
      </c>
      <c r="B739">
        <v>6</v>
      </c>
      <c r="C739" t="s">
        <v>136</v>
      </c>
      <c r="D739">
        <v>6</v>
      </c>
      <c r="E739" t="s">
        <v>93</v>
      </c>
      <c r="F739">
        <v>1</v>
      </c>
      <c r="G739" t="s">
        <v>57</v>
      </c>
      <c r="H739" t="s">
        <v>69</v>
      </c>
      <c r="I739" t="s">
        <v>59</v>
      </c>
      <c r="J739" t="s">
        <v>32</v>
      </c>
      <c r="K739">
        <v>201</v>
      </c>
    </row>
    <row r="740" spans="1:11" x14ac:dyDescent="0.25">
      <c r="A740" s="2">
        <v>38534</v>
      </c>
      <c r="B740">
        <v>6</v>
      </c>
      <c r="C740" t="s">
        <v>136</v>
      </c>
      <c r="D740">
        <v>6</v>
      </c>
      <c r="E740" t="s">
        <v>93</v>
      </c>
      <c r="F740">
        <v>2</v>
      </c>
      <c r="G740" t="s">
        <v>60</v>
      </c>
      <c r="H740" t="s">
        <v>69</v>
      </c>
      <c r="I740" t="s">
        <v>59</v>
      </c>
      <c r="J740" t="s">
        <v>32</v>
      </c>
      <c r="K740">
        <v>220</v>
      </c>
    </row>
    <row r="741" spans="1:11" x14ac:dyDescent="0.25">
      <c r="A741" s="2">
        <v>38534</v>
      </c>
      <c r="B741">
        <v>6</v>
      </c>
      <c r="C741" t="s">
        <v>136</v>
      </c>
      <c r="D741">
        <v>6</v>
      </c>
      <c r="E741" t="s">
        <v>93</v>
      </c>
      <c r="F741">
        <v>2</v>
      </c>
      <c r="G741" t="s">
        <v>60</v>
      </c>
      <c r="H741" t="s">
        <v>70</v>
      </c>
      <c r="I741" t="s">
        <v>59</v>
      </c>
      <c r="J741" t="s">
        <v>32</v>
      </c>
      <c r="K741">
        <v>200</v>
      </c>
    </row>
    <row r="742" spans="1:11" x14ac:dyDescent="0.25">
      <c r="A742" s="2">
        <v>38534</v>
      </c>
      <c r="B742">
        <v>6</v>
      </c>
      <c r="C742" t="s">
        <v>136</v>
      </c>
      <c r="D742">
        <v>6</v>
      </c>
      <c r="E742" t="s">
        <v>93</v>
      </c>
      <c r="F742">
        <v>1</v>
      </c>
      <c r="G742" t="s">
        <v>57</v>
      </c>
      <c r="H742" t="s">
        <v>70</v>
      </c>
      <c r="I742" t="s">
        <v>59</v>
      </c>
      <c r="J742" t="s">
        <v>32</v>
      </c>
      <c r="K742">
        <v>145</v>
      </c>
    </row>
    <row r="743" spans="1:11" x14ac:dyDescent="0.25">
      <c r="A743" s="2">
        <v>38534</v>
      </c>
      <c r="B743">
        <v>6</v>
      </c>
      <c r="C743" t="s">
        <v>136</v>
      </c>
      <c r="D743">
        <v>6</v>
      </c>
      <c r="E743" t="s">
        <v>93</v>
      </c>
      <c r="F743">
        <v>1</v>
      </c>
      <c r="G743" t="s">
        <v>57</v>
      </c>
      <c r="H743" t="s">
        <v>71</v>
      </c>
      <c r="I743" t="s">
        <v>59</v>
      </c>
      <c r="J743" t="s">
        <v>32</v>
      </c>
      <c r="K743">
        <v>896</v>
      </c>
    </row>
    <row r="744" spans="1:11" x14ac:dyDescent="0.25">
      <c r="A744" s="2">
        <v>38534</v>
      </c>
      <c r="B744">
        <v>6</v>
      </c>
      <c r="C744" t="s">
        <v>136</v>
      </c>
      <c r="D744">
        <v>6</v>
      </c>
      <c r="E744" t="s">
        <v>93</v>
      </c>
      <c r="F744">
        <v>2</v>
      </c>
      <c r="G744" t="s">
        <v>60</v>
      </c>
      <c r="H744" t="s">
        <v>71</v>
      </c>
      <c r="I744" t="s">
        <v>59</v>
      </c>
      <c r="J744" t="s">
        <v>32</v>
      </c>
      <c r="K744">
        <v>1400</v>
      </c>
    </row>
    <row r="745" spans="1:11" x14ac:dyDescent="0.25">
      <c r="A745" s="2">
        <v>38534</v>
      </c>
      <c r="B745">
        <v>6</v>
      </c>
      <c r="C745" t="s">
        <v>136</v>
      </c>
      <c r="D745">
        <v>6</v>
      </c>
      <c r="E745" t="s">
        <v>93</v>
      </c>
      <c r="F745">
        <v>2</v>
      </c>
      <c r="G745" t="s">
        <v>60</v>
      </c>
      <c r="H745" t="s">
        <v>72</v>
      </c>
      <c r="I745" t="s">
        <v>59</v>
      </c>
      <c r="J745" t="s">
        <v>32</v>
      </c>
      <c r="K745">
        <v>380</v>
      </c>
    </row>
    <row r="746" spans="1:11" x14ac:dyDescent="0.25">
      <c r="A746" s="2">
        <v>38534</v>
      </c>
      <c r="B746">
        <v>6</v>
      </c>
      <c r="C746" t="s">
        <v>136</v>
      </c>
      <c r="D746">
        <v>6</v>
      </c>
      <c r="E746" t="s">
        <v>93</v>
      </c>
      <c r="F746">
        <v>1</v>
      </c>
      <c r="G746" t="s">
        <v>57</v>
      </c>
      <c r="H746" t="s">
        <v>72</v>
      </c>
      <c r="I746" t="s">
        <v>59</v>
      </c>
      <c r="J746" t="s">
        <v>32</v>
      </c>
      <c r="K746">
        <v>417</v>
      </c>
    </row>
    <row r="747" spans="1:11" x14ac:dyDescent="0.25">
      <c r="A747" s="2">
        <v>38534</v>
      </c>
      <c r="B747">
        <v>6</v>
      </c>
      <c r="C747" t="s">
        <v>136</v>
      </c>
      <c r="D747">
        <v>6</v>
      </c>
      <c r="E747" t="s">
        <v>93</v>
      </c>
      <c r="F747">
        <v>1</v>
      </c>
      <c r="G747" t="s">
        <v>57</v>
      </c>
      <c r="H747" t="s">
        <v>73</v>
      </c>
      <c r="I747" t="s">
        <v>59</v>
      </c>
      <c r="J747" t="s">
        <v>32</v>
      </c>
      <c r="K747">
        <v>126</v>
      </c>
    </row>
    <row r="748" spans="1:11" x14ac:dyDescent="0.25">
      <c r="A748" s="2">
        <v>38534</v>
      </c>
      <c r="B748">
        <v>6</v>
      </c>
      <c r="C748" t="s">
        <v>136</v>
      </c>
      <c r="D748">
        <v>6</v>
      </c>
      <c r="E748" t="s">
        <v>93</v>
      </c>
      <c r="F748">
        <v>2</v>
      </c>
      <c r="G748" t="s">
        <v>60</v>
      </c>
      <c r="H748" t="s">
        <v>73</v>
      </c>
      <c r="I748" t="s">
        <v>59</v>
      </c>
      <c r="J748" t="s">
        <v>32</v>
      </c>
      <c r="K748">
        <v>100</v>
      </c>
    </row>
    <row r="749" spans="1:11" x14ac:dyDescent="0.25">
      <c r="A749" s="2">
        <v>38534</v>
      </c>
      <c r="B749">
        <v>6</v>
      </c>
      <c r="C749" t="s">
        <v>136</v>
      </c>
      <c r="D749">
        <v>6</v>
      </c>
      <c r="E749" t="s">
        <v>93</v>
      </c>
      <c r="F749">
        <v>2</v>
      </c>
      <c r="G749" t="s">
        <v>60</v>
      </c>
      <c r="H749" t="s">
        <v>74</v>
      </c>
      <c r="I749" t="s">
        <v>59</v>
      </c>
      <c r="J749" t="s">
        <v>32</v>
      </c>
      <c r="K749">
        <v>480</v>
      </c>
    </row>
    <row r="750" spans="1:11" x14ac:dyDescent="0.25">
      <c r="A750" s="2">
        <v>38534</v>
      </c>
      <c r="B750">
        <v>6</v>
      </c>
      <c r="C750" t="s">
        <v>136</v>
      </c>
      <c r="D750">
        <v>6</v>
      </c>
      <c r="E750" t="s">
        <v>93</v>
      </c>
      <c r="F750">
        <v>1</v>
      </c>
      <c r="G750" t="s">
        <v>57</v>
      </c>
      <c r="H750" t="s">
        <v>74</v>
      </c>
      <c r="I750" t="s">
        <v>59</v>
      </c>
      <c r="J750" t="s">
        <v>32</v>
      </c>
      <c r="K750">
        <v>487</v>
      </c>
    </row>
    <row r="751" spans="1:11" x14ac:dyDescent="0.25">
      <c r="A751" s="2">
        <v>38534</v>
      </c>
      <c r="B751">
        <v>6</v>
      </c>
      <c r="C751" t="s">
        <v>136</v>
      </c>
      <c r="D751">
        <v>6</v>
      </c>
      <c r="E751" t="s">
        <v>93</v>
      </c>
      <c r="F751">
        <v>1</v>
      </c>
      <c r="G751" t="s">
        <v>57</v>
      </c>
      <c r="H751" t="s">
        <v>75</v>
      </c>
      <c r="I751" t="s">
        <v>59</v>
      </c>
      <c r="J751" t="s">
        <v>32</v>
      </c>
      <c r="K751">
        <v>302</v>
      </c>
    </row>
    <row r="752" spans="1:11" x14ac:dyDescent="0.25">
      <c r="A752" s="2">
        <v>38534</v>
      </c>
      <c r="B752">
        <v>6</v>
      </c>
      <c r="C752" t="s">
        <v>136</v>
      </c>
      <c r="D752">
        <v>6</v>
      </c>
      <c r="E752" t="s">
        <v>93</v>
      </c>
      <c r="F752">
        <v>2</v>
      </c>
      <c r="G752" t="s">
        <v>60</v>
      </c>
      <c r="H752" t="s">
        <v>75</v>
      </c>
      <c r="I752" t="s">
        <v>59</v>
      </c>
      <c r="J752" t="s">
        <v>32</v>
      </c>
      <c r="K752">
        <v>280</v>
      </c>
    </row>
    <row r="753" spans="1:11" x14ac:dyDescent="0.25">
      <c r="A753" s="2">
        <v>38534</v>
      </c>
      <c r="B753">
        <v>6</v>
      </c>
      <c r="C753" t="s">
        <v>136</v>
      </c>
      <c r="D753">
        <v>6</v>
      </c>
      <c r="E753" t="s">
        <v>93</v>
      </c>
      <c r="F753">
        <v>2</v>
      </c>
      <c r="G753" t="s">
        <v>60</v>
      </c>
      <c r="H753" t="s">
        <v>76</v>
      </c>
      <c r="I753" t="s">
        <v>59</v>
      </c>
      <c r="J753" t="s">
        <v>32</v>
      </c>
      <c r="K753">
        <v>30</v>
      </c>
    </row>
    <row r="754" spans="1:11" x14ac:dyDescent="0.25">
      <c r="A754" s="2">
        <v>38534</v>
      </c>
      <c r="B754">
        <v>6</v>
      </c>
      <c r="C754" t="s">
        <v>136</v>
      </c>
      <c r="D754">
        <v>6</v>
      </c>
      <c r="E754" t="s">
        <v>93</v>
      </c>
      <c r="F754">
        <v>1</v>
      </c>
      <c r="G754" t="s">
        <v>57</v>
      </c>
      <c r="H754" t="s">
        <v>76</v>
      </c>
      <c r="I754" t="s">
        <v>59</v>
      </c>
      <c r="J754" t="s">
        <v>32</v>
      </c>
      <c r="K754">
        <v>31</v>
      </c>
    </row>
    <row r="755" spans="1:11" x14ac:dyDescent="0.25">
      <c r="A755" s="2">
        <v>38534</v>
      </c>
      <c r="B755">
        <v>6</v>
      </c>
      <c r="C755" t="s">
        <v>136</v>
      </c>
      <c r="D755">
        <v>6</v>
      </c>
      <c r="E755" t="s">
        <v>93</v>
      </c>
      <c r="F755">
        <v>1</v>
      </c>
      <c r="G755" t="s">
        <v>57</v>
      </c>
      <c r="H755" t="s">
        <v>77</v>
      </c>
      <c r="I755" t="s">
        <v>59</v>
      </c>
      <c r="J755" t="s">
        <v>32</v>
      </c>
      <c r="K755">
        <v>107</v>
      </c>
    </row>
    <row r="756" spans="1:11" x14ac:dyDescent="0.25">
      <c r="A756" s="2">
        <v>38534</v>
      </c>
      <c r="B756">
        <v>6</v>
      </c>
      <c r="C756" t="s">
        <v>136</v>
      </c>
      <c r="D756">
        <v>6</v>
      </c>
      <c r="E756" t="s">
        <v>93</v>
      </c>
      <c r="F756">
        <v>2</v>
      </c>
      <c r="G756" t="s">
        <v>60</v>
      </c>
      <c r="H756" t="s">
        <v>77</v>
      </c>
      <c r="I756" t="s">
        <v>59</v>
      </c>
      <c r="J756" t="s">
        <v>32</v>
      </c>
      <c r="K756">
        <v>100</v>
      </c>
    </row>
    <row r="757" spans="1:11" x14ac:dyDescent="0.25">
      <c r="A757" s="2">
        <v>38534</v>
      </c>
      <c r="B757">
        <v>6</v>
      </c>
      <c r="C757" t="s">
        <v>136</v>
      </c>
      <c r="D757">
        <v>6</v>
      </c>
      <c r="E757" t="s">
        <v>93</v>
      </c>
      <c r="F757">
        <v>2</v>
      </c>
      <c r="G757" t="s">
        <v>60</v>
      </c>
      <c r="H757" t="s">
        <v>78</v>
      </c>
      <c r="I757" t="s">
        <v>59</v>
      </c>
      <c r="J757" t="s">
        <v>32</v>
      </c>
      <c r="K757">
        <v>100</v>
      </c>
    </row>
    <row r="758" spans="1:11" x14ac:dyDescent="0.25">
      <c r="A758" s="2">
        <v>38534</v>
      </c>
      <c r="B758">
        <v>6</v>
      </c>
      <c r="C758" t="s">
        <v>136</v>
      </c>
      <c r="D758">
        <v>6</v>
      </c>
      <c r="E758" t="s">
        <v>93</v>
      </c>
      <c r="F758">
        <v>1</v>
      </c>
      <c r="G758" t="s">
        <v>57</v>
      </c>
      <c r="H758" t="s">
        <v>78</v>
      </c>
      <c r="I758" t="s">
        <v>59</v>
      </c>
      <c r="J758" t="s">
        <v>32</v>
      </c>
      <c r="K758">
        <v>94</v>
      </c>
    </row>
    <row r="759" spans="1:11" x14ac:dyDescent="0.25">
      <c r="A759" s="2">
        <v>38534</v>
      </c>
      <c r="B759">
        <v>6</v>
      </c>
      <c r="C759" t="s">
        <v>136</v>
      </c>
      <c r="D759">
        <v>6</v>
      </c>
      <c r="E759" t="s">
        <v>93</v>
      </c>
      <c r="F759">
        <v>1</v>
      </c>
      <c r="G759" t="s">
        <v>57</v>
      </c>
      <c r="H759" t="s">
        <v>79</v>
      </c>
      <c r="I759" t="s">
        <v>59</v>
      </c>
      <c r="J759" t="s">
        <v>32</v>
      </c>
      <c r="K759">
        <v>86</v>
      </c>
    </row>
    <row r="760" spans="1:11" x14ac:dyDescent="0.25">
      <c r="A760" s="2">
        <v>38534</v>
      </c>
      <c r="B760">
        <v>6</v>
      </c>
      <c r="C760" t="s">
        <v>136</v>
      </c>
      <c r="D760">
        <v>6</v>
      </c>
      <c r="E760" t="s">
        <v>93</v>
      </c>
      <c r="F760">
        <v>2</v>
      </c>
      <c r="G760" t="s">
        <v>60</v>
      </c>
      <c r="H760" t="s">
        <v>79</v>
      </c>
      <c r="I760" t="s">
        <v>59</v>
      </c>
      <c r="J760" t="s">
        <v>32</v>
      </c>
      <c r="K760">
        <v>90</v>
      </c>
    </row>
    <row r="761" spans="1:11" x14ac:dyDescent="0.25">
      <c r="A761" s="2">
        <v>38534</v>
      </c>
      <c r="B761">
        <v>6</v>
      </c>
      <c r="C761" t="s">
        <v>136</v>
      </c>
      <c r="D761">
        <v>6</v>
      </c>
      <c r="E761" t="s">
        <v>93</v>
      </c>
      <c r="F761">
        <v>2</v>
      </c>
      <c r="G761" t="s">
        <v>60</v>
      </c>
      <c r="H761" t="s">
        <v>80</v>
      </c>
      <c r="I761" t="s">
        <v>59</v>
      </c>
      <c r="J761" t="s">
        <v>32</v>
      </c>
      <c r="K761">
        <v>380</v>
      </c>
    </row>
    <row r="762" spans="1:11" x14ac:dyDescent="0.25">
      <c r="A762" s="2">
        <v>38534</v>
      </c>
      <c r="B762">
        <v>6</v>
      </c>
      <c r="C762" t="s">
        <v>136</v>
      </c>
      <c r="D762">
        <v>6</v>
      </c>
      <c r="E762" t="s">
        <v>93</v>
      </c>
      <c r="F762">
        <v>1</v>
      </c>
      <c r="G762" t="s">
        <v>57</v>
      </c>
      <c r="H762" t="s">
        <v>80</v>
      </c>
      <c r="I762" t="s">
        <v>59</v>
      </c>
      <c r="J762" t="s">
        <v>32</v>
      </c>
      <c r="K762">
        <v>410</v>
      </c>
    </row>
    <row r="763" spans="1:11" x14ac:dyDescent="0.25">
      <c r="A763" s="2">
        <v>38534</v>
      </c>
      <c r="B763">
        <v>6</v>
      </c>
      <c r="C763" t="s">
        <v>136</v>
      </c>
      <c r="D763">
        <v>6</v>
      </c>
      <c r="E763" t="s">
        <v>93</v>
      </c>
      <c r="F763">
        <v>1</v>
      </c>
      <c r="G763" t="s">
        <v>57</v>
      </c>
      <c r="H763" t="s">
        <v>81</v>
      </c>
      <c r="I763" t="s">
        <v>82</v>
      </c>
      <c r="J763" t="s">
        <v>32</v>
      </c>
      <c r="K763">
        <v>142</v>
      </c>
    </row>
    <row r="764" spans="1:11" x14ac:dyDescent="0.25">
      <c r="A764" s="2">
        <v>38534</v>
      </c>
      <c r="B764">
        <v>6</v>
      </c>
      <c r="C764" t="s">
        <v>136</v>
      </c>
      <c r="D764">
        <v>6</v>
      </c>
      <c r="E764" t="s">
        <v>93</v>
      </c>
      <c r="F764">
        <v>1</v>
      </c>
      <c r="G764" t="s">
        <v>57</v>
      </c>
      <c r="H764" t="s">
        <v>83</v>
      </c>
      <c r="I764" t="s">
        <v>59</v>
      </c>
      <c r="J764" t="s">
        <v>32</v>
      </c>
      <c r="K764">
        <v>218</v>
      </c>
    </row>
    <row r="765" spans="1:11" x14ac:dyDescent="0.25">
      <c r="A765" s="2">
        <v>38534</v>
      </c>
      <c r="B765">
        <v>6</v>
      </c>
      <c r="C765" t="s">
        <v>136</v>
      </c>
      <c r="D765">
        <v>6</v>
      </c>
      <c r="E765" t="s">
        <v>93</v>
      </c>
      <c r="F765">
        <v>1</v>
      </c>
      <c r="G765" t="s">
        <v>57</v>
      </c>
      <c r="H765" t="s">
        <v>84</v>
      </c>
      <c r="I765" t="s">
        <v>82</v>
      </c>
      <c r="J765" t="s">
        <v>32</v>
      </c>
      <c r="K765">
        <v>-174</v>
      </c>
    </row>
    <row r="766" spans="1:11" x14ac:dyDescent="0.25">
      <c r="A766" s="2">
        <v>38534</v>
      </c>
      <c r="B766">
        <v>6</v>
      </c>
      <c r="C766" t="s">
        <v>136</v>
      </c>
      <c r="D766">
        <v>6</v>
      </c>
      <c r="E766" t="s">
        <v>93</v>
      </c>
      <c r="F766">
        <v>1</v>
      </c>
      <c r="G766" t="s">
        <v>57</v>
      </c>
      <c r="H766" t="s">
        <v>85</v>
      </c>
      <c r="I766" t="s">
        <v>82</v>
      </c>
      <c r="J766" t="s">
        <v>32</v>
      </c>
      <c r="K766">
        <v>291</v>
      </c>
    </row>
    <row r="767" spans="1:11" x14ac:dyDescent="0.25">
      <c r="A767" s="2">
        <v>38534</v>
      </c>
      <c r="B767">
        <v>6</v>
      </c>
      <c r="C767" t="s">
        <v>136</v>
      </c>
      <c r="D767">
        <v>6</v>
      </c>
      <c r="E767" t="s">
        <v>93</v>
      </c>
      <c r="F767">
        <v>1</v>
      </c>
      <c r="G767" t="s">
        <v>57</v>
      </c>
      <c r="H767" t="s">
        <v>86</v>
      </c>
      <c r="I767" t="s">
        <v>59</v>
      </c>
      <c r="J767" t="s">
        <v>32</v>
      </c>
      <c r="K767">
        <v>3350</v>
      </c>
    </row>
    <row r="768" spans="1:11" x14ac:dyDescent="0.25">
      <c r="A768" s="2">
        <v>38534</v>
      </c>
      <c r="B768">
        <v>6</v>
      </c>
      <c r="C768" t="s">
        <v>136</v>
      </c>
      <c r="D768">
        <v>6</v>
      </c>
      <c r="E768" t="s">
        <v>93</v>
      </c>
      <c r="F768">
        <v>1</v>
      </c>
      <c r="G768" t="s">
        <v>57</v>
      </c>
      <c r="H768" t="s">
        <v>87</v>
      </c>
      <c r="I768" t="s">
        <v>88</v>
      </c>
      <c r="J768" t="s">
        <v>89</v>
      </c>
      <c r="K768">
        <v>7</v>
      </c>
    </row>
    <row r="769" spans="1:11" x14ac:dyDescent="0.25">
      <c r="A769" s="2">
        <v>38534</v>
      </c>
      <c r="B769">
        <v>6</v>
      </c>
      <c r="C769" t="s">
        <v>136</v>
      </c>
      <c r="D769">
        <v>6</v>
      </c>
      <c r="E769" t="s">
        <v>93</v>
      </c>
      <c r="F769">
        <v>1</v>
      </c>
      <c r="G769" t="s">
        <v>57</v>
      </c>
      <c r="H769" t="s">
        <v>89</v>
      </c>
      <c r="I769" t="s">
        <v>100</v>
      </c>
      <c r="J769" t="s">
        <v>89</v>
      </c>
      <c r="K769">
        <v>135</v>
      </c>
    </row>
    <row r="770" spans="1:11" x14ac:dyDescent="0.25">
      <c r="A770" s="2">
        <v>38534</v>
      </c>
      <c r="B770">
        <v>6</v>
      </c>
      <c r="C770" t="s">
        <v>136</v>
      </c>
      <c r="D770">
        <v>6</v>
      </c>
      <c r="E770" t="s">
        <v>93</v>
      </c>
      <c r="F770">
        <v>1</v>
      </c>
      <c r="G770" t="s">
        <v>57</v>
      </c>
      <c r="H770" t="s">
        <v>101</v>
      </c>
      <c r="I770" t="s">
        <v>88</v>
      </c>
      <c r="J770" t="s">
        <v>89</v>
      </c>
      <c r="K770">
        <v>9000</v>
      </c>
    </row>
    <row r="771" spans="1:11" x14ac:dyDescent="0.25">
      <c r="A771" s="2">
        <v>38534</v>
      </c>
      <c r="B771">
        <v>6</v>
      </c>
      <c r="C771" t="s">
        <v>136</v>
      </c>
      <c r="D771">
        <v>6</v>
      </c>
      <c r="E771" t="s">
        <v>93</v>
      </c>
      <c r="F771">
        <v>2</v>
      </c>
      <c r="G771" t="s">
        <v>60</v>
      </c>
      <c r="H771" t="s">
        <v>102</v>
      </c>
      <c r="I771" t="s">
        <v>82</v>
      </c>
      <c r="J771" t="s">
        <v>32</v>
      </c>
      <c r="K771">
        <v>162900</v>
      </c>
    </row>
    <row r="772" spans="1:11" x14ac:dyDescent="0.25">
      <c r="A772" s="2">
        <v>38534</v>
      </c>
      <c r="B772">
        <v>6</v>
      </c>
      <c r="C772" t="s">
        <v>136</v>
      </c>
      <c r="D772">
        <v>6</v>
      </c>
      <c r="E772" t="s">
        <v>93</v>
      </c>
      <c r="F772">
        <v>1</v>
      </c>
      <c r="G772" t="s">
        <v>57</v>
      </c>
      <c r="H772" t="s">
        <v>102</v>
      </c>
      <c r="I772" t="s">
        <v>82</v>
      </c>
      <c r="J772" t="s">
        <v>32</v>
      </c>
      <c r="K772">
        <v>125316</v>
      </c>
    </row>
    <row r="773" spans="1:11" x14ac:dyDescent="0.25">
      <c r="A773" s="2">
        <v>38534</v>
      </c>
      <c r="B773">
        <v>6</v>
      </c>
      <c r="C773" t="s">
        <v>136</v>
      </c>
      <c r="D773">
        <v>7</v>
      </c>
      <c r="E773" t="s">
        <v>103</v>
      </c>
      <c r="F773">
        <v>1</v>
      </c>
      <c r="G773" t="s">
        <v>57</v>
      </c>
      <c r="H773" t="s">
        <v>104</v>
      </c>
      <c r="I773" t="s">
        <v>92</v>
      </c>
      <c r="J773" t="s">
        <v>32</v>
      </c>
      <c r="K773">
        <v>147741</v>
      </c>
    </row>
    <row r="774" spans="1:11" x14ac:dyDescent="0.25">
      <c r="A774" s="2">
        <v>38534</v>
      </c>
      <c r="B774">
        <v>6</v>
      </c>
      <c r="C774" t="s">
        <v>136</v>
      </c>
      <c r="D774">
        <v>7</v>
      </c>
      <c r="E774" t="s">
        <v>103</v>
      </c>
      <c r="F774">
        <v>1</v>
      </c>
      <c r="G774" t="s">
        <v>57</v>
      </c>
      <c r="H774" t="s">
        <v>105</v>
      </c>
      <c r="I774" t="s">
        <v>92</v>
      </c>
      <c r="J774" t="s">
        <v>32</v>
      </c>
      <c r="K774">
        <v>199915</v>
      </c>
    </row>
    <row r="775" spans="1:11" x14ac:dyDescent="0.25">
      <c r="A775" s="2">
        <v>38534</v>
      </c>
      <c r="B775">
        <v>6</v>
      </c>
      <c r="C775" t="s">
        <v>136</v>
      </c>
      <c r="D775">
        <v>7</v>
      </c>
      <c r="E775" t="s">
        <v>103</v>
      </c>
      <c r="F775">
        <v>1</v>
      </c>
      <c r="G775" t="s">
        <v>57</v>
      </c>
      <c r="H775" t="s">
        <v>106</v>
      </c>
      <c r="I775" t="s">
        <v>92</v>
      </c>
      <c r="J775" t="s">
        <v>32</v>
      </c>
      <c r="K775">
        <v>6077</v>
      </c>
    </row>
    <row r="776" spans="1:11" x14ac:dyDescent="0.25">
      <c r="A776" s="2">
        <v>38534</v>
      </c>
      <c r="B776">
        <v>6</v>
      </c>
      <c r="C776" t="s">
        <v>136</v>
      </c>
      <c r="D776">
        <v>7</v>
      </c>
      <c r="E776" t="s">
        <v>103</v>
      </c>
      <c r="F776">
        <v>1</v>
      </c>
      <c r="G776" t="s">
        <v>57</v>
      </c>
      <c r="H776" t="s">
        <v>107</v>
      </c>
      <c r="I776" t="s">
        <v>92</v>
      </c>
      <c r="J776" t="s">
        <v>32</v>
      </c>
      <c r="K776">
        <v>3998</v>
      </c>
    </row>
    <row r="777" spans="1:11" x14ac:dyDescent="0.25">
      <c r="A777" s="2">
        <v>38534</v>
      </c>
      <c r="B777">
        <v>6</v>
      </c>
      <c r="C777" t="s">
        <v>136</v>
      </c>
      <c r="D777">
        <v>7</v>
      </c>
      <c r="E777" t="s">
        <v>103</v>
      </c>
      <c r="F777">
        <v>1</v>
      </c>
      <c r="G777" t="s">
        <v>57</v>
      </c>
      <c r="H777" t="s">
        <v>108</v>
      </c>
      <c r="I777" t="s">
        <v>92</v>
      </c>
      <c r="J777" t="s">
        <v>32</v>
      </c>
      <c r="K777">
        <v>31186</v>
      </c>
    </row>
    <row r="778" spans="1:11" x14ac:dyDescent="0.25">
      <c r="A778" s="2">
        <v>38534</v>
      </c>
      <c r="B778">
        <v>6</v>
      </c>
      <c r="C778" t="s">
        <v>136</v>
      </c>
      <c r="D778">
        <v>7</v>
      </c>
      <c r="E778" t="s">
        <v>103</v>
      </c>
      <c r="F778">
        <v>1</v>
      </c>
      <c r="G778" t="s">
        <v>57</v>
      </c>
      <c r="H778" t="s">
        <v>109</v>
      </c>
      <c r="I778" t="s">
        <v>92</v>
      </c>
      <c r="J778" t="s">
        <v>32</v>
      </c>
      <c r="K778">
        <v>19991</v>
      </c>
    </row>
    <row r="779" spans="1:11" x14ac:dyDescent="0.25">
      <c r="A779" s="2">
        <v>38534</v>
      </c>
      <c r="B779">
        <v>6</v>
      </c>
      <c r="C779" t="s">
        <v>136</v>
      </c>
      <c r="D779">
        <v>7</v>
      </c>
      <c r="E779" t="s">
        <v>103</v>
      </c>
      <c r="F779">
        <v>1</v>
      </c>
      <c r="G779" t="s">
        <v>57</v>
      </c>
      <c r="H779" t="s">
        <v>110</v>
      </c>
      <c r="I779" t="s">
        <v>92</v>
      </c>
      <c r="J779" t="s">
        <v>32</v>
      </c>
      <c r="K779">
        <v>38783</v>
      </c>
    </row>
    <row r="780" spans="1:11" x14ac:dyDescent="0.25">
      <c r="A780" s="2">
        <v>38534</v>
      </c>
      <c r="B780">
        <v>6</v>
      </c>
      <c r="C780" t="s">
        <v>136</v>
      </c>
      <c r="D780">
        <v>7</v>
      </c>
      <c r="E780" t="s">
        <v>103</v>
      </c>
      <c r="F780">
        <v>1</v>
      </c>
      <c r="G780" t="s">
        <v>57</v>
      </c>
      <c r="H780" t="s">
        <v>111</v>
      </c>
      <c r="I780" t="s">
        <v>92</v>
      </c>
      <c r="J780" t="s">
        <v>32</v>
      </c>
      <c r="K780">
        <v>9604</v>
      </c>
    </row>
    <row r="781" spans="1:11" x14ac:dyDescent="0.25">
      <c r="A781" s="2">
        <v>38534</v>
      </c>
      <c r="B781">
        <v>6</v>
      </c>
      <c r="C781" t="s">
        <v>136</v>
      </c>
      <c r="D781">
        <v>7</v>
      </c>
      <c r="E781" t="s">
        <v>103</v>
      </c>
      <c r="F781">
        <v>1</v>
      </c>
      <c r="G781" t="s">
        <v>57</v>
      </c>
      <c r="H781" t="s">
        <v>112</v>
      </c>
      <c r="I781" t="s">
        <v>92</v>
      </c>
      <c r="J781" t="s">
        <v>32</v>
      </c>
      <c r="K781">
        <v>30604</v>
      </c>
    </row>
    <row r="782" spans="1:11" x14ac:dyDescent="0.25">
      <c r="A782" s="2">
        <v>38534</v>
      </c>
      <c r="B782">
        <v>6</v>
      </c>
      <c r="C782" t="s">
        <v>136</v>
      </c>
      <c r="D782">
        <v>7</v>
      </c>
      <c r="E782" t="s">
        <v>103</v>
      </c>
      <c r="F782">
        <v>1</v>
      </c>
      <c r="G782" t="s">
        <v>57</v>
      </c>
      <c r="H782" t="s">
        <v>113</v>
      </c>
      <c r="I782" t="s">
        <v>92</v>
      </c>
      <c r="J782" t="s">
        <v>32</v>
      </c>
      <c r="K782">
        <v>10564</v>
      </c>
    </row>
    <row r="783" spans="1:11" x14ac:dyDescent="0.25">
      <c r="A783" s="2">
        <v>38534</v>
      </c>
      <c r="B783">
        <v>6</v>
      </c>
      <c r="C783" t="s">
        <v>136</v>
      </c>
      <c r="D783">
        <v>7</v>
      </c>
      <c r="E783" t="s">
        <v>103</v>
      </c>
      <c r="F783">
        <v>1</v>
      </c>
      <c r="G783" t="s">
        <v>57</v>
      </c>
      <c r="H783" t="s">
        <v>114</v>
      </c>
      <c r="I783" t="s">
        <v>92</v>
      </c>
      <c r="J783" t="s">
        <v>32</v>
      </c>
      <c r="K783">
        <v>109144</v>
      </c>
    </row>
    <row r="784" spans="1:11" x14ac:dyDescent="0.25">
      <c r="A784" s="2">
        <v>38534</v>
      </c>
      <c r="B784">
        <v>6</v>
      </c>
      <c r="C784" t="s">
        <v>136</v>
      </c>
      <c r="D784">
        <v>7</v>
      </c>
      <c r="E784" t="s">
        <v>103</v>
      </c>
      <c r="F784">
        <v>1</v>
      </c>
      <c r="G784" t="s">
        <v>57</v>
      </c>
      <c r="H784" t="s">
        <v>115</v>
      </c>
      <c r="I784" t="s">
        <v>92</v>
      </c>
      <c r="J784" t="s">
        <v>32</v>
      </c>
      <c r="K784">
        <v>8239</v>
      </c>
    </row>
    <row r="785" spans="1:11" x14ac:dyDescent="0.25">
      <c r="A785" s="2">
        <v>38534</v>
      </c>
      <c r="B785">
        <v>6</v>
      </c>
      <c r="C785" t="s">
        <v>136</v>
      </c>
      <c r="D785">
        <v>7</v>
      </c>
      <c r="E785" t="s">
        <v>103</v>
      </c>
      <c r="F785">
        <v>1</v>
      </c>
      <c r="G785" t="s">
        <v>57</v>
      </c>
      <c r="H785" t="s">
        <v>116</v>
      </c>
      <c r="I785" t="s">
        <v>92</v>
      </c>
      <c r="J785" t="s">
        <v>32</v>
      </c>
      <c r="K785">
        <v>3402</v>
      </c>
    </row>
    <row r="786" spans="1:11" x14ac:dyDescent="0.25">
      <c r="A786" s="2">
        <v>38534</v>
      </c>
      <c r="B786">
        <v>6</v>
      </c>
      <c r="C786" t="s">
        <v>136</v>
      </c>
      <c r="D786">
        <v>7</v>
      </c>
      <c r="E786" t="s">
        <v>103</v>
      </c>
      <c r="F786">
        <v>1</v>
      </c>
      <c r="G786" t="s">
        <v>57</v>
      </c>
      <c r="H786" t="s">
        <v>78</v>
      </c>
      <c r="I786" t="s">
        <v>92</v>
      </c>
      <c r="J786" t="s">
        <v>32</v>
      </c>
      <c r="K786">
        <v>16551</v>
      </c>
    </row>
    <row r="787" spans="1:11" x14ac:dyDescent="0.25">
      <c r="A787" s="2">
        <v>38534</v>
      </c>
      <c r="B787">
        <v>6</v>
      </c>
      <c r="C787" t="s">
        <v>136</v>
      </c>
      <c r="D787">
        <v>7</v>
      </c>
      <c r="E787" t="s">
        <v>103</v>
      </c>
      <c r="F787">
        <v>1</v>
      </c>
      <c r="G787" t="s">
        <v>57</v>
      </c>
      <c r="H787" t="s">
        <v>117</v>
      </c>
      <c r="I787" t="s">
        <v>118</v>
      </c>
      <c r="J787" t="s">
        <v>32</v>
      </c>
      <c r="K787">
        <v>13715</v>
      </c>
    </row>
    <row r="788" spans="1:11" x14ac:dyDescent="0.25">
      <c r="A788" s="2">
        <v>38534</v>
      </c>
      <c r="B788">
        <v>6</v>
      </c>
      <c r="C788" t="s">
        <v>136</v>
      </c>
      <c r="D788">
        <v>7</v>
      </c>
      <c r="E788" t="s">
        <v>103</v>
      </c>
      <c r="F788">
        <v>1</v>
      </c>
      <c r="G788" t="s">
        <v>57</v>
      </c>
      <c r="H788" t="s">
        <v>119</v>
      </c>
      <c r="I788" t="s">
        <v>118</v>
      </c>
      <c r="J788" t="s">
        <v>32</v>
      </c>
      <c r="K788">
        <v>124092</v>
      </c>
    </row>
    <row r="789" spans="1:11" x14ac:dyDescent="0.25">
      <c r="A789" s="2">
        <v>38534</v>
      </c>
      <c r="B789">
        <v>6</v>
      </c>
      <c r="C789" t="s">
        <v>136</v>
      </c>
      <c r="D789">
        <v>7</v>
      </c>
      <c r="E789" t="s">
        <v>103</v>
      </c>
      <c r="F789">
        <v>1</v>
      </c>
      <c r="G789" t="s">
        <v>57</v>
      </c>
      <c r="H789" t="s">
        <v>120</v>
      </c>
      <c r="I789" t="s">
        <v>118</v>
      </c>
      <c r="J789" t="s">
        <v>32</v>
      </c>
      <c r="K789">
        <v>94236</v>
      </c>
    </row>
    <row r="790" spans="1:11" x14ac:dyDescent="0.25">
      <c r="A790" s="2">
        <v>38534</v>
      </c>
      <c r="B790">
        <v>6</v>
      </c>
      <c r="C790" t="s">
        <v>136</v>
      </c>
      <c r="D790">
        <v>7</v>
      </c>
      <c r="E790" t="s">
        <v>103</v>
      </c>
      <c r="F790">
        <v>1</v>
      </c>
      <c r="G790" t="s">
        <v>57</v>
      </c>
      <c r="H790" t="s">
        <v>121</v>
      </c>
      <c r="I790" t="s">
        <v>118</v>
      </c>
      <c r="J790" t="s">
        <v>32</v>
      </c>
      <c r="K790">
        <v>24240</v>
      </c>
    </row>
    <row r="791" spans="1:11" x14ac:dyDescent="0.25">
      <c r="A791" s="2">
        <v>38534</v>
      </c>
      <c r="B791">
        <v>6</v>
      </c>
      <c r="C791" t="s">
        <v>136</v>
      </c>
      <c r="D791">
        <v>7</v>
      </c>
      <c r="E791" t="s">
        <v>103</v>
      </c>
      <c r="F791">
        <v>1</v>
      </c>
      <c r="G791" t="s">
        <v>57</v>
      </c>
      <c r="H791" t="s">
        <v>122</v>
      </c>
      <c r="I791" t="s">
        <v>118</v>
      </c>
      <c r="J791" t="s">
        <v>32</v>
      </c>
      <c r="K791">
        <v>18648</v>
      </c>
    </row>
    <row r="792" spans="1:11" x14ac:dyDescent="0.25">
      <c r="A792" s="2">
        <v>38534</v>
      </c>
      <c r="B792">
        <v>6</v>
      </c>
      <c r="C792" t="s">
        <v>136</v>
      </c>
      <c r="D792">
        <v>7</v>
      </c>
      <c r="E792" t="s">
        <v>103</v>
      </c>
      <c r="F792">
        <v>1</v>
      </c>
      <c r="G792" t="s">
        <v>57</v>
      </c>
      <c r="H792" t="s">
        <v>123</v>
      </c>
      <c r="I792" t="s">
        <v>118</v>
      </c>
      <c r="J792" t="s">
        <v>32</v>
      </c>
      <c r="K792">
        <v>14553</v>
      </c>
    </row>
    <row r="793" spans="1:11" x14ac:dyDescent="0.25">
      <c r="A793" s="2">
        <v>38534</v>
      </c>
      <c r="B793">
        <v>6</v>
      </c>
      <c r="C793" t="s">
        <v>136</v>
      </c>
      <c r="D793">
        <v>7</v>
      </c>
      <c r="E793" t="s">
        <v>103</v>
      </c>
      <c r="F793">
        <v>1</v>
      </c>
      <c r="G793" t="s">
        <v>57</v>
      </c>
      <c r="H793" t="s">
        <v>124</v>
      </c>
      <c r="I793" t="s">
        <v>118</v>
      </c>
      <c r="J793" t="s">
        <v>32</v>
      </c>
      <c r="K793">
        <v>29888</v>
      </c>
    </row>
    <row r="794" spans="1:11" x14ac:dyDescent="0.25">
      <c r="A794" s="2">
        <v>38534</v>
      </c>
      <c r="B794">
        <v>6</v>
      </c>
      <c r="C794" t="s">
        <v>136</v>
      </c>
      <c r="D794">
        <v>7</v>
      </c>
      <c r="E794" t="s">
        <v>103</v>
      </c>
      <c r="F794">
        <v>1</v>
      </c>
      <c r="G794" t="s">
        <v>57</v>
      </c>
      <c r="H794" t="s">
        <v>125</v>
      </c>
      <c r="I794" t="s">
        <v>118</v>
      </c>
      <c r="J794" t="s">
        <v>32</v>
      </c>
      <c r="K794">
        <v>22950</v>
      </c>
    </row>
    <row r="795" spans="1:11" x14ac:dyDescent="0.25">
      <c r="A795" s="2">
        <v>38534</v>
      </c>
      <c r="B795">
        <v>6</v>
      </c>
      <c r="C795" t="s">
        <v>136</v>
      </c>
      <c r="D795">
        <v>7</v>
      </c>
      <c r="E795" t="s">
        <v>103</v>
      </c>
      <c r="F795">
        <v>1</v>
      </c>
      <c r="G795" t="s">
        <v>57</v>
      </c>
      <c r="H795" t="s">
        <v>126</v>
      </c>
      <c r="I795" t="s">
        <v>118</v>
      </c>
      <c r="J795" t="s">
        <v>32</v>
      </c>
      <c r="K795">
        <v>22187</v>
      </c>
    </row>
    <row r="796" spans="1:11" x14ac:dyDescent="0.25">
      <c r="A796" s="2">
        <v>38534</v>
      </c>
      <c r="B796">
        <v>6</v>
      </c>
      <c r="C796" t="s">
        <v>136</v>
      </c>
      <c r="D796">
        <v>7</v>
      </c>
      <c r="E796" t="s">
        <v>103</v>
      </c>
      <c r="F796">
        <v>1</v>
      </c>
      <c r="G796" t="s">
        <v>57</v>
      </c>
      <c r="H796" t="s">
        <v>127</v>
      </c>
      <c r="I796" t="s">
        <v>118</v>
      </c>
      <c r="J796" t="s">
        <v>32</v>
      </c>
      <c r="K796">
        <v>89617</v>
      </c>
    </row>
    <row r="797" spans="1:11" x14ac:dyDescent="0.25">
      <c r="A797" s="2">
        <v>38534</v>
      </c>
      <c r="B797">
        <v>6</v>
      </c>
      <c r="C797" t="s">
        <v>136</v>
      </c>
      <c r="D797">
        <v>7</v>
      </c>
      <c r="E797" t="s">
        <v>103</v>
      </c>
      <c r="F797">
        <v>1</v>
      </c>
      <c r="G797" t="s">
        <v>57</v>
      </c>
      <c r="H797" t="s">
        <v>128</v>
      </c>
      <c r="I797" t="s">
        <v>118</v>
      </c>
      <c r="J797" t="s">
        <v>32</v>
      </c>
      <c r="K797">
        <v>20015</v>
      </c>
    </row>
    <row r="798" spans="1:11" x14ac:dyDescent="0.25">
      <c r="A798" s="2">
        <v>38534</v>
      </c>
      <c r="B798">
        <v>6</v>
      </c>
      <c r="C798" t="s">
        <v>136</v>
      </c>
      <c r="D798">
        <v>7</v>
      </c>
      <c r="E798" t="s">
        <v>103</v>
      </c>
      <c r="F798">
        <v>1</v>
      </c>
      <c r="G798" t="s">
        <v>57</v>
      </c>
      <c r="H798" t="s">
        <v>129</v>
      </c>
      <c r="I798" t="s">
        <v>118</v>
      </c>
      <c r="J798" t="s">
        <v>32</v>
      </c>
      <c r="K798">
        <v>350000</v>
      </c>
    </row>
    <row r="799" spans="1:11" x14ac:dyDescent="0.25">
      <c r="A799" s="2">
        <v>38534</v>
      </c>
      <c r="B799">
        <v>6</v>
      </c>
      <c r="C799" t="s">
        <v>136</v>
      </c>
      <c r="D799">
        <v>7</v>
      </c>
      <c r="E799" t="s">
        <v>103</v>
      </c>
      <c r="F799">
        <v>1</v>
      </c>
      <c r="G799" t="s">
        <v>57</v>
      </c>
      <c r="H799" t="s">
        <v>130</v>
      </c>
      <c r="I799" t="s">
        <v>118</v>
      </c>
      <c r="J799" t="s">
        <v>32</v>
      </c>
      <c r="K799">
        <v>-252025.7</v>
      </c>
    </row>
    <row r="800" spans="1:11" x14ac:dyDescent="0.25">
      <c r="A800" s="2">
        <v>38534</v>
      </c>
      <c r="B800">
        <v>6</v>
      </c>
      <c r="C800" t="s">
        <v>136</v>
      </c>
      <c r="D800">
        <v>7</v>
      </c>
      <c r="E800" t="s">
        <v>103</v>
      </c>
      <c r="F800">
        <v>1</v>
      </c>
      <c r="G800" t="s">
        <v>57</v>
      </c>
      <c r="H800" t="s">
        <v>131</v>
      </c>
      <c r="I800" t="s">
        <v>118</v>
      </c>
      <c r="J800" t="s">
        <v>32</v>
      </c>
      <c r="K800">
        <v>629881.69999999995</v>
      </c>
    </row>
    <row r="801" spans="1:11" x14ac:dyDescent="0.25">
      <c r="A801" s="2">
        <v>38534</v>
      </c>
      <c r="B801">
        <v>6</v>
      </c>
      <c r="C801" t="s">
        <v>136</v>
      </c>
      <c r="D801">
        <v>7</v>
      </c>
      <c r="E801" t="s">
        <v>103</v>
      </c>
      <c r="F801">
        <v>1</v>
      </c>
      <c r="G801" t="s">
        <v>57</v>
      </c>
      <c r="H801" t="s">
        <v>132</v>
      </c>
      <c r="I801" t="s">
        <v>118</v>
      </c>
      <c r="J801" t="s">
        <v>32</v>
      </c>
      <c r="K801">
        <v>-58073</v>
      </c>
    </row>
    <row r="802" spans="1:11" x14ac:dyDescent="0.25">
      <c r="A802" s="2">
        <v>38534</v>
      </c>
      <c r="B802">
        <v>6</v>
      </c>
      <c r="C802" t="s">
        <v>136</v>
      </c>
      <c r="D802">
        <v>7</v>
      </c>
      <c r="E802" t="s">
        <v>103</v>
      </c>
      <c r="F802">
        <v>1</v>
      </c>
      <c r="G802" t="s">
        <v>57</v>
      </c>
      <c r="H802" t="s">
        <v>133</v>
      </c>
      <c r="I802" t="s">
        <v>118</v>
      </c>
      <c r="J802" t="s">
        <v>32</v>
      </c>
      <c r="K802">
        <v>14629</v>
      </c>
    </row>
    <row r="803" spans="1:11" x14ac:dyDescent="0.25">
      <c r="A803" s="2">
        <v>38534</v>
      </c>
      <c r="B803">
        <v>7</v>
      </c>
      <c r="C803" t="s">
        <v>142</v>
      </c>
      <c r="D803">
        <v>1</v>
      </c>
      <c r="E803" t="s">
        <v>56</v>
      </c>
      <c r="F803">
        <v>1</v>
      </c>
      <c r="G803" t="s">
        <v>57</v>
      </c>
      <c r="H803" t="s">
        <v>58</v>
      </c>
      <c r="I803" t="s">
        <v>59</v>
      </c>
      <c r="J803" t="s">
        <v>32</v>
      </c>
      <c r="K803">
        <v>37080</v>
      </c>
    </row>
    <row r="804" spans="1:11" x14ac:dyDescent="0.25">
      <c r="A804" s="2">
        <v>38534</v>
      </c>
      <c r="B804">
        <v>7</v>
      </c>
      <c r="C804" t="s">
        <v>142</v>
      </c>
      <c r="D804">
        <v>1</v>
      </c>
      <c r="E804" t="s">
        <v>56</v>
      </c>
      <c r="F804">
        <v>2</v>
      </c>
      <c r="G804" t="s">
        <v>60</v>
      </c>
      <c r="H804" t="s">
        <v>58</v>
      </c>
      <c r="I804" t="s">
        <v>59</v>
      </c>
      <c r="J804" t="s">
        <v>32</v>
      </c>
      <c r="K804">
        <v>36600</v>
      </c>
    </row>
    <row r="805" spans="1:11" x14ac:dyDescent="0.25">
      <c r="A805" s="2">
        <v>38534</v>
      </c>
      <c r="B805">
        <v>7</v>
      </c>
      <c r="C805" t="s">
        <v>142</v>
      </c>
      <c r="D805">
        <v>1</v>
      </c>
      <c r="E805" t="s">
        <v>56</v>
      </c>
      <c r="F805">
        <v>2</v>
      </c>
      <c r="G805" t="s">
        <v>60</v>
      </c>
      <c r="H805" t="s">
        <v>61</v>
      </c>
      <c r="I805" t="s">
        <v>59</v>
      </c>
      <c r="J805" t="s">
        <v>32</v>
      </c>
      <c r="K805">
        <v>3100</v>
      </c>
    </row>
    <row r="806" spans="1:11" x14ac:dyDescent="0.25">
      <c r="A806" s="2">
        <v>38534</v>
      </c>
      <c r="B806">
        <v>7</v>
      </c>
      <c r="C806" t="s">
        <v>142</v>
      </c>
      <c r="D806">
        <v>1</v>
      </c>
      <c r="E806" t="s">
        <v>56</v>
      </c>
      <c r="F806">
        <v>1</v>
      </c>
      <c r="G806" t="s">
        <v>57</v>
      </c>
      <c r="H806" t="s">
        <v>61</v>
      </c>
      <c r="I806" t="s">
        <v>59</v>
      </c>
      <c r="J806" t="s">
        <v>32</v>
      </c>
      <c r="K806">
        <v>2966</v>
      </c>
    </row>
    <row r="807" spans="1:11" x14ac:dyDescent="0.25">
      <c r="A807" s="2">
        <v>38534</v>
      </c>
      <c r="B807">
        <v>7</v>
      </c>
      <c r="C807" t="s">
        <v>142</v>
      </c>
      <c r="D807">
        <v>1</v>
      </c>
      <c r="E807" t="s">
        <v>56</v>
      </c>
      <c r="F807">
        <v>1</v>
      </c>
      <c r="G807" t="s">
        <v>57</v>
      </c>
      <c r="H807" t="s">
        <v>62</v>
      </c>
      <c r="I807" t="s">
        <v>59</v>
      </c>
      <c r="J807" t="s">
        <v>32</v>
      </c>
      <c r="K807">
        <v>3337</v>
      </c>
    </row>
    <row r="808" spans="1:11" x14ac:dyDescent="0.25">
      <c r="A808" s="2">
        <v>38534</v>
      </c>
      <c r="B808">
        <v>7</v>
      </c>
      <c r="C808" t="s">
        <v>142</v>
      </c>
      <c r="D808">
        <v>1</v>
      </c>
      <c r="E808" t="s">
        <v>56</v>
      </c>
      <c r="F808">
        <v>2</v>
      </c>
      <c r="G808" t="s">
        <v>60</v>
      </c>
      <c r="H808" t="s">
        <v>62</v>
      </c>
      <c r="I808" t="s">
        <v>59</v>
      </c>
      <c r="J808" t="s">
        <v>32</v>
      </c>
      <c r="K808">
        <v>2800</v>
      </c>
    </row>
    <row r="809" spans="1:11" x14ac:dyDescent="0.25">
      <c r="A809" s="2">
        <v>38534</v>
      </c>
      <c r="B809">
        <v>7</v>
      </c>
      <c r="C809" t="s">
        <v>142</v>
      </c>
      <c r="D809">
        <v>1</v>
      </c>
      <c r="E809" t="s">
        <v>56</v>
      </c>
      <c r="F809">
        <v>2</v>
      </c>
      <c r="G809" t="s">
        <v>60</v>
      </c>
      <c r="H809" t="s">
        <v>63</v>
      </c>
      <c r="I809" t="s">
        <v>59</v>
      </c>
      <c r="J809" t="s">
        <v>32</v>
      </c>
      <c r="K809">
        <v>550</v>
      </c>
    </row>
    <row r="810" spans="1:11" x14ac:dyDescent="0.25">
      <c r="A810" s="2">
        <v>38534</v>
      </c>
      <c r="B810">
        <v>7</v>
      </c>
      <c r="C810" t="s">
        <v>142</v>
      </c>
      <c r="D810">
        <v>1</v>
      </c>
      <c r="E810" t="s">
        <v>56</v>
      </c>
      <c r="F810">
        <v>1</v>
      </c>
      <c r="G810" t="s">
        <v>57</v>
      </c>
      <c r="H810" t="s">
        <v>63</v>
      </c>
      <c r="I810" t="s">
        <v>59</v>
      </c>
      <c r="J810" t="s">
        <v>32</v>
      </c>
      <c r="K810">
        <v>711</v>
      </c>
    </row>
    <row r="811" spans="1:11" x14ac:dyDescent="0.25">
      <c r="A811" s="2">
        <v>38534</v>
      </c>
      <c r="B811">
        <v>7</v>
      </c>
      <c r="C811" t="s">
        <v>142</v>
      </c>
      <c r="D811">
        <v>1</v>
      </c>
      <c r="E811" t="s">
        <v>56</v>
      </c>
      <c r="F811">
        <v>1</v>
      </c>
      <c r="G811" t="s">
        <v>57</v>
      </c>
      <c r="H811" t="s">
        <v>64</v>
      </c>
      <c r="I811" t="s">
        <v>59</v>
      </c>
      <c r="J811" t="s">
        <v>32</v>
      </c>
      <c r="K811">
        <v>647</v>
      </c>
    </row>
    <row r="812" spans="1:11" x14ac:dyDescent="0.25">
      <c r="A812" s="2">
        <v>38534</v>
      </c>
      <c r="B812">
        <v>7</v>
      </c>
      <c r="C812" t="s">
        <v>142</v>
      </c>
      <c r="D812">
        <v>1</v>
      </c>
      <c r="E812" t="s">
        <v>56</v>
      </c>
      <c r="F812">
        <v>2</v>
      </c>
      <c r="G812" t="s">
        <v>60</v>
      </c>
      <c r="H812" t="s">
        <v>64</v>
      </c>
      <c r="I812" t="s">
        <v>59</v>
      </c>
      <c r="J812" t="s">
        <v>32</v>
      </c>
      <c r="K812">
        <v>550</v>
      </c>
    </row>
    <row r="813" spans="1:11" x14ac:dyDescent="0.25">
      <c r="A813" s="2">
        <v>38534</v>
      </c>
      <c r="B813">
        <v>7</v>
      </c>
      <c r="C813" t="s">
        <v>142</v>
      </c>
      <c r="D813">
        <v>1</v>
      </c>
      <c r="E813" t="s">
        <v>56</v>
      </c>
      <c r="F813">
        <v>2</v>
      </c>
      <c r="G813" t="s">
        <v>60</v>
      </c>
      <c r="H813" t="s">
        <v>65</v>
      </c>
      <c r="I813" t="s">
        <v>59</v>
      </c>
      <c r="J813" t="s">
        <v>32</v>
      </c>
      <c r="K813">
        <v>280</v>
      </c>
    </row>
    <row r="814" spans="1:11" x14ac:dyDescent="0.25">
      <c r="A814" s="2">
        <v>38534</v>
      </c>
      <c r="B814">
        <v>7</v>
      </c>
      <c r="C814" t="s">
        <v>142</v>
      </c>
      <c r="D814">
        <v>1</v>
      </c>
      <c r="E814" t="s">
        <v>56</v>
      </c>
      <c r="F814">
        <v>1</v>
      </c>
      <c r="G814" t="s">
        <v>57</v>
      </c>
      <c r="H814" t="s">
        <v>65</v>
      </c>
      <c r="I814" t="s">
        <v>59</v>
      </c>
      <c r="J814" t="s">
        <v>32</v>
      </c>
      <c r="K814">
        <v>324</v>
      </c>
    </row>
    <row r="815" spans="1:11" x14ac:dyDescent="0.25">
      <c r="A815" s="2">
        <v>38534</v>
      </c>
      <c r="B815">
        <v>7</v>
      </c>
      <c r="C815" t="s">
        <v>142</v>
      </c>
      <c r="D815">
        <v>1</v>
      </c>
      <c r="E815" t="s">
        <v>56</v>
      </c>
      <c r="F815">
        <v>1</v>
      </c>
      <c r="G815" t="s">
        <v>57</v>
      </c>
      <c r="H815" t="s">
        <v>66</v>
      </c>
      <c r="I815" t="s">
        <v>59</v>
      </c>
      <c r="J815" t="s">
        <v>32</v>
      </c>
      <c r="K815">
        <v>243</v>
      </c>
    </row>
    <row r="816" spans="1:11" x14ac:dyDescent="0.25">
      <c r="A816" s="2">
        <v>38534</v>
      </c>
      <c r="B816">
        <v>7</v>
      </c>
      <c r="C816" t="s">
        <v>142</v>
      </c>
      <c r="D816">
        <v>1</v>
      </c>
      <c r="E816" t="s">
        <v>56</v>
      </c>
      <c r="F816">
        <v>2</v>
      </c>
      <c r="G816" t="s">
        <v>60</v>
      </c>
      <c r="H816" t="s">
        <v>66</v>
      </c>
      <c r="I816" t="s">
        <v>59</v>
      </c>
      <c r="J816" t="s">
        <v>32</v>
      </c>
      <c r="K816">
        <v>200</v>
      </c>
    </row>
    <row r="817" spans="1:11" x14ac:dyDescent="0.25">
      <c r="A817" s="2">
        <v>38534</v>
      </c>
      <c r="B817">
        <v>7</v>
      </c>
      <c r="C817" t="s">
        <v>142</v>
      </c>
      <c r="D817">
        <v>1</v>
      </c>
      <c r="E817" t="s">
        <v>56</v>
      </c>
      <c r="F817">
        <v>1</v>
      </c>
      <c r="G817" t="s">
        <v>57</v>
      </c>
      <c r="H817" t="s">
        <v>67</v>
      </c>
      <c r="I817" t="s">
        <v>59</v>
      </c>
      <c r="J817" t="s">
        <v>32</v>
      </c>
      <c r="K817">
        <v>71</v>
      </c>
    </row>
    <row r="818" spans="1:11" x14ac:dyDescent="0.25">
      <c r="A818" s="2">
        <v>38534</v>
      </c>
      <c r="B818">
        <v>7</v>
      </c>
      <c r="C818" t="s">
        <v>142</v>
      </c>
      <c r="D818">
        <v>1</v>
      </c>
      <c r="E818" t="s">
        <v>56</v>
      </c>
      <c r="F818">
        <v>1</v>
      </c>
      <c r="G818" t="s">
        <v>57</v>
      </c>
      <c r="H818" t="s">
        <v>68</v>
      </c>
      <c r="I818" t="s">
        <v>59</v>
      </c>
      <c r="J818" t="s">
        <v>32</v>
      </c>
      <c r="K818">
        <v>63</v>
      </c>
    </row>
    <row r="819" spans="1:11" x14ac:dyDescent="0.25">
      <c r="A819" s="2">
        <v>38534</v>
      </c>
      <c r="B819">
        <v>7</v>
      </c>
      <c r="C819" t="s">
        <v>142</v>
      </c>
      <c r="D819">
        <v>1</v>
      </c>
      <c r="E819" t="s">
        <v>56</v>
      </c>
      <c r="F819">
        <v>2</v>
      </c>
      <c r="G819" t="s">
        <v>60</v>
      </c>
      <c r="H819" t="s">
        <v>68</v>
      </c>
      <c r="I819" t="s">
        <v>59</v>
      </c>
      <c r="J819" t="s">
        <v>32</v>
      </c>
      <c r="K819">
        <v>90</v>
      </c>
    </row>
    <row r="820" spans="1:11" x14ac:dyDescent="0.25">
      <c r="A820" s="2">
        <v>38534</v>
      </c>
      <c r="B820">
        <v>7</v>
      </c>
      <c r="C820" t="s">
        <v>142</v>
      </c>
      <c r="D820">
        <v>1</v>
      </c>
      <c r="E820" t="s">
        <v>56</v>
      </c>
      <c r="F820">
        <v>2</v>
      </c>
      <c r="G820" t="s">
        <v>60</v>
      </c>
      <c r="H820" t="s">
        <v>69</v>
      </c>
      <c r="I820" t="s">
        <v>59</v>
      </c>
      <c r="J820" t="s">
        <v>32</v>
      </c>
      <c r="K820">
        <v>400</v>
      </c>
    </row>
    <row r="821" spans="1:11" x14ac:dyDescent="0.25">
      <c r="A821" s="2">
        <v>38534</v>
      </c>
      <c r="B821">
        <v>7</v>
      </c>
      <c r="C821" t="s">
        <v>142</v>
      </c>
      <c r="D821">
        <v>1</v>
      </c>
      <c r="E821" t="s">
        <v>56</v>
      </c>
      <c r="F821">
        <v>1</v>
      </c>
      <c r="G821" t="s">
        <v>57</v>
      </c>
      <c r="H821" t="s">
        <v>69</v>
      </c>
      <c r="I821" t="s">
        <v>59</v>
      </c>
      <c r="J821" t="s">
        <v>32</v>
      </c>
      <c r="K821">
        <v>432</v>
      </c>
    </row>
    <row r="822" spans="1:11" x14ac:dyDescent="0.25">
      <c r="A822" s="2">
        <v>38534</v>
      </c>
      <c r="B822">
        <v>7</v>
      </c>
      <c r="C822" t="s">
        <v>142</v>
      </c>
      <c r="D822">
        <v>1</v>
      </c>
      <c r="E822" t="s">
        <v>56</v>
      </c>
      <c r="F822">
        <v>1</v>
      </c>
      <c r="G822" t="s">
        <v>57</v>
      </c>
      <c r="H822" t="s">
        <v>70</v>
      </c>
      <c r="I822" t="s">
        <v>59</v>
      </c>
      <c r="J822" t="s">
        <v>32</v>
      </c>
      <c r="K822">
        <v>255</v>
      </c>
    </row>
    <row r="823" spans="1:11" x14ac:dyDescent="0.25">
      <c r="A823" s="2">
        <v>38534</v>
      </c>
      <c r="B823">
        <v>7</v>
      </c>
      <c r="C823" t="s">
        <v>142</v>
      </c>
      <c r="D823">
        <v>1</v>
      </c>
      <c r="E823" t="s">
        <v>56</v>
      </c>
      <c r="F823">
        <v>2</v>
      </c>
      <c r="G823" t="s">
        <v>60</v>
      </c>
      <c r="H823" t="s">
        <v>70</v>
      </c>
      <c r="I823" t="s">
        <v>59</v>
      </c>
      <c r="J823" t="s">
        <v>32</v>
      </c>
      <c r="K823">
        <v>200</v>
      </c>
    </row>
    <row r="824" spans="1:11" x14ac:dyDescent="0.25">
      <c r="A824" s="2">
        <v>38534</v>
      </c>
      <c r="B824">
        <v>7</v>
      </c>
      <c r="C824" t="s">
        <v>142</v>
      </c>
      <c r="D824">
        <v>1</v>
      </c>
      <c r="E824" t="s">
        <v>56</v>
      </c>
      <c r="F824">
        <v>2</v>
      </c>
      <c r="G824" t="s">
        <v>60</v>
      </c>
      <c r="H824" t="s">
        <v>71</v>
      </c>
      <c r="I824" t="s">
        <v>59</v>
      </c>
      <c r="J824" t="s">
        <v>32</v>
      </c>
      <c r="K824">
        <v>380</v>
      </c>
    </row>
    <row r="825" spans="1:11" x14ac:dyDescent="0.25">
      <c r="A825" s="2">
        <v>38534</v>
      </c>
      <c r="B825">
        <v>7</v>
      </c>
      <c r="C825" t="s">
        <v>142</v>
      </c>
      <c r="D825">
        <v>1</v>
      </c>
      <c r="E825" t="s">
        <v>56</v>
      </c>
      <c r="F825">
        <v>1</v>
      </c>
      <c r="G825" t="s">
        <v>57</v>
      </c>
      <c r="H825" t="s">
        <v>71</v>
      </c>
      <c r="I825" t="s">
        <v>59</v>
      </c>
      <c r="J825" t="s">
        <v>32</v>
      </c>
      <c r="K825">
        <v>477</v>
      </c>
    </row>
    <row r="826" spans="1:11" x14ac:dyDescent="0.25">
      <c r="A826" s="2">
        <v>38534</v>
      </c>
      <c r="B826">
        <v>7</v>
      </c>
      <c r="C826" t="s">
        <v>142</v>
      </c>
      <c r="D826">
        <v>1</v>
      </c>
      <c r="E826" t="s">
        <v>56</v>
      </c>
      <c r="F826">
        <v>1</v>
      </c>
      <c r="G826" t="s">
        <v>57</v>
      </c>
      <c r="H826" t="s">
        <v>72</v>
      </c>
      <c r="I826" t="s">
        <v>59</v>
      </c>
      <c r="J826" t="s">
        <v>32</v>
      </c>
      <c r="K826">
        <v>858</v>
      </c>
    </row>
    <row r="827" spans="1:11" x14ac:dyDescent="0.25">
      <c r="A827" s="2">
        <v>38534</v>
      </c>
      <c r="B827">
        <v>7</v>
      </c>
      <c r="C827" t="s">
        <v>142</v>
      </c>
      <c r="D827">
        <v>1</v>
      </c>
      <c r="E827" t="s">
        <v>56</v>
      </c>
      <c r="F827">
        <v>2</v>
      </c>
      <c r="G827" t="s">
        <v>60</v>
      </c>
      <c r="H827" t="s">
        <v>72</v>
      </c>
      <c r="I827" t="s">
        <v>59</v>
      </c>
      <c r="J827" t="s">
        <v>32</v>
      </c>
      <c r="K827">
        <v>850</v>
      </c>
    </row>
    <row r="828" spans="1:11" x14ac:dyDescent="0.25">
      <c r="A828" s="2">
        <v>38534</v>
      </c>
      <c r="B828">
        <v>7</v>
      </c>
      <c r="C828" t="s">
        <v>142</v>
      </c>
      <c r="D828">
        <v>1</v>
      </c>
      <c r="E828" t="s">
        <v>56</v>
      </c>
      <c r="F828">
        <v>2</v>
      </c>
      <c r="G828" t="s">
        <v>60</v>
      </c>
      <c r="H828" t="s">
        <v>73</v>
      </c>
      <c r="I828" t="s">
        <v>59</v>
      </c>
      <c r="J828" t="s">
        <v>32</v>
      </c>
      <c r="K828">
        <v>280</v>
      </c>
    </row>
    <row r="829" spans="1:11" x14ac:dyDescent="0.25">
      <c r="A829" s="2">
        <v>38534</v>
      </c>
      <c r="B829">
        <v>7</v>
      </c>
      <c r="C829" t="s">
        <v>142</v>
      </c>
      <c r="D829">
        <v>1</v>
      </c>
      <c r="E829" t="s">
        <v>56</v>
      </c>
      <c r="F829">
        <v>1</v>
      </c>
      <c r="G829" t="s">
        <v>57</v>
      </c>
      <c r="H829" t="s">
        <v>73</v>
      </c>
      <c r="I829" t="s">
        <v>59</v>
      </c>
      <c r="J829" t="s">
        <v>32</v>
      </c>
      <c r="K829">
        <v>227</v>
      </c>
    </row>
    <row r="830" spans="1:11" x14ac:dyDescent="0.25">
      <c r="A830" s="2">
        <v>38534</v>
      </c>
      <c r="B830">
        <v>7</v>
      </c>
      <c r="C830" t="s">
        <v>142</v>
      </c>
      <c r="D830">
        <v>1</v>
      </c>
      <c r="E830" t="s">
        <v>56</v>
      </c>
      <c r="F830">
        <v>1</v>
      </c>
      <c r="G830" t="s">
        <v>57</v>
      </c>
      <c r="H830" t="s">
        <v>74</v>
      </c>
      <c r="I830" t="s">
        <v>59</v>
      </c>
      <c r="J830" t="s">
        <v>32</v>
      </c>
      <c r="K830">
        <v>859</v>
      </c>
    </row>
    <row r="831" spans="1:11" x14ac:dyDescent="0.25">
      <c r="A831" s="2">
        <v>38534</v>
      </c>
      <c r="B831">
        <v>7</v>
      </c>
      <c r="C831" t="s">
        <v>142</v>
      </c>
      <c r="D831">
        <v>1</v>
      </c>
      <c r="E831" t="s">
        <v>56</v>
      </c>
      <c r="F831">
        <v>2</v>
      </c>
      <c r="G831" t="s">
        <v>60</v>
      </c>
      <c r="H831" t="s">
        <v>74</v>
      </c>
      <c r="I831" t="s">
        <v>59</v>
      </c>
      <c r="J831" t="s">
        <v>32</v>
      </c>
      <c r="K831">
        <v>950</v>
      </c>
    </row>
    <row r="832" spans="1:11" x14ac:dyDescent="0.25">
      <c r="A832" s="2">
        <v>38534</v>
      </c>
      <c r="B832">
        <v>7</v>
      </c>
      <c r="C832" t="s">
        <v>142</v>
      </c>
      <c r="D832">
        <v>1</v>
      </c>
      <c r="E832" t="s">
        <v>56</v>
      </c>
      <c r="F832">
        <v>2</v>
      </c>
      <c r="G832" t="s">
        <v>60</v>
      </c>
      <c r="H832" t="s">
        <v>75</v>
      </c>
      <c r="I832" t="s">
        <v>59</v>
      </c>
      <c r="J832" t="s">
        <v>32</v>
      </c>
      <c r="K832">
        <v>550</v>
      </c>
    </row>
    <row r="833" spans="1:11" x14ac:dyDescent="0.25">
      <c r="A833" s="2">
        <v>38534</v>
      </c>
      <c r="B833">
        <v>7</v>
      </c>
      <c r="C833" t="s">
        <v>142</v>
      </c>
      <c r="D833">
        <v>1</v>
      </c>
      <c r="E833" t="s">
        <v>56</v>
      </c>
      <c r="F833">
        <v>1</v>
      </c>
      <c r="G833" t="s">
        <v>57</v>
      </c>
      <c r="H833" t="s">
        <v>75</v>
      </c>
      <c r="I833" t="s">
        <v>59</v>
      </c>
      <c r="J833" t="s">
        <v>32</v>
      </c>
      <c r="K833">
        <v>532</v>
      </c>
    </row>
    <row r="834" spans="1:11" x14ac:dyDescent="0.25">
      <c r="A834" s="2">
        <v>38534</v>
      </c>
      <c r="B834">
        <v>7</v>
      </c>
      <c r="C834" t="s">
        <v>142</v>
      </c>
      <c r="D834">
        <v>1</v>
      </c>
      <c r="E834" t="s">
        <v>56</v>
      </c>
      <c r="F834">
        <v>1</v>
      </c>
      <c r="G834" t="s">
        <v>57</v>
      </c>
      <c r="H834" t="s">
        <v>76</v>
      </c>
      <c r="I834" t="s">
        <v>59</v>
      </c>
      <c r="J834" t="s">
        <v>32</v>
      </c>
      <c r="K834">
        <v>51</v>
      </c>
    </row>
    <row r="835" spans="1:11" x14ac:dyDescent="0.25">
      <c r="A835" s="2">
        <v>38534</v>
      </c>
      <c r="B835">
        <v>7</v>
      </c>
      <c r="C835" t="s">
        <v>142</v>
      </c>
      <c r="D835">
        <v>1</v>
      </c>
      <c r="E835" t="s">
        <v>56</v>
      </c>
      <c r="F835">
        <v>2</v>
      </c>
      <c r="G835" t="s">
        <v>60</v>
      </c>
      <c r="H835" t="s">
        <v>76</v>
      </c>
      <c r="I835" t="s">
        <v>59</v>
      </c>
      <c r="J835" t="s">
        <v>32</v>
      </c>
      <c r="K835">
        <v>60</v>
      </c>
    </row>
    <row r="836" spans="1:11" x14ac:dyDescent="0.25">
      <c r="A836" s="2">
        <v>38534</v>
      </c>
      <c r="B836">
        <v>7</v>
      </c>
      <c r="C836" t="s">
        <v>142</v>
      </c>
      <c r="D836">
        <v>1</v>
      </c>
      <c r="E836" t="s">
        <v>56</v>
      </c>
      <c r="F836">
        <v>2</v>
      </c>
      <c r="G836" t="s">
        <v>60</v>
      </c>
      <c r="H836" t="s">
        <v>77</v>
      </c>
      <c r="I836" t="s">
        <v>59</v>
      </c>
      <c r="J836" t="s">
        <v>32</v>
      </c>
      <c r="K836">
        <v>200</v>
      </c>
    </row>
    <row r="837" spans="1:11" x14ac:dyDescent="0.25">
      <c r="A837" s="2">
        <v>38534</v>
      </c>
      <c r="B837">
        <v>7</v>
      </c>
      <c r="C837" t="s">
        <v>142</v>
      </c>
      <c r="D837">
        <v>1</v>
      </c>
      <c r="E837" t="s">
        <v>56</v>
      </c>
      <c r="F837">
        <v>1</v>
      </c>
      <c r="G837" t="s">
        <v>57</v>
      </c>
      <c r="H837" t="s">
        <v>77</v>
      </c>
      <c r="I837" t="s">
        <v>59</v>
      </c>
      <c r="J837" t="s">
        <v>32</v>
      </c>
      <c r="K837">
        <v>178</v>
      </c>
    </row>
    <row r="838" spans="1:11" x14ac:dyDescent="0.25">
      <c r="A838" s="2">
        <v>38534</v>
      </c>
      <c r="B838">
        <v>7</v>
      </c>
      <c r="C838" t="s">
        <v>142</v>
      </c>
      <c r="D838">
        <v>1</v>
      </c>
      <c r="E838" t="s">
        <v>56</v>
      </c>
      <c r="F838">
        <v>1</v>
      </c>
      <c r="G838" t="s">
        <v>57</v>
      </c>
      <c r="H838" t="s">
        <v>78</v>
      </c>
      <c r="I838" t="s">
        <v>59</v>
      </c>
      <c r="J838" t="s">
        <v>32</v>
      </c>
      <c r="K838">
        <v>147</v>
      </c>
    </row>
    <row r="839" spans="1:11" x14ac:dyDescent="0.25">
      <c r="A839" s="2">
        <v>38534</v>
      </c>
      <c r="B839">
        <v>7</v>
      </c>
      <c r="C839" t="s">
        <v>142</v>
      </c>
      <c r="D839">
        <v>1</v>
      </c>
      <c r="E839" t="s">
        <v>56</v>
      </c>
      <c r="F839">
        <v>2</v>
      </c>
      <c r="G839" t="s">
        <v>60</v>
      </c>
      <c r="H839" t="s">
        <v>78</v>
      </c>
      <c r="I839" t="s">
        <v>59</v>
      </c>
      <c r="J839" t="s">
        <v>32</v>
      </c>
      <c r="K839">
        <v>200</v>
      </c>
    </row>
    <row r="840" spans="1:11" x14ac:dyDescent="0.25">
      <c r="A840" s="2">
        <v>38534</v>
      </c>
      <c r="B840">
        <v>7</v>
      </c>
      <c r="C840" t="s">
        <v>142</v>
      </c>
      <c r="D840">
        <v>1</v>
      </c>
      <c r="E840" t="s">
        <v>56</v>
      </c>
      <c r="F840">
        <v>2</v>
      </c>
      <c r="G840" t="s">
        <v>60</v>
      </c>
      <c r="H840" t="s">
        <v>79</v>
      </c>
      <c r="I840" t="s">
        <v>59</v>
      </c>
      <c r="J840" t="s">
        <v>32</v>
      </c>
      <c r="K840">
        <v>200</v>
      </c>
    </row>
    <row r="841" spans="1:11" x14ac:dyDescent="0.25">
      <c r="A841" s="2">
        <v>38534</v>
      </c>
      <c r="B841">
        <v>7</v>
      </c>
      <c r="C841" t="s">
        <v>142</v>
      </c>
      <c r="D841">
        <v>1</v>
      </c>
      <c r="E841" t="s">
        <v>56</v>
      </c>
      <c r="F841">
        <v>1</v>
      </c>
      <c r="G841" t="s">
        <v>57</v>
      </c>
      <c r="H841" t="s">
        <v>79</v>
      </c>
      <c r="I841" t="s">
        <v>59</v>
      </c>
      <c r="J841" t="s">
        <v>32</v>
      </c>
      <c r="K841">
        <v>142</v>
      </c>
    </row>
    <row r="842" spans="1:11" x14ac:dyDescent="0.25">
      <c r="A842" s="2">
        <v>38534</v>
      </c>
      <c r="B842">
        <v>7</v>
      </c>
      <c r="C842" t="s">
        <v>142</v>
      </c>
      <c r="D842">
        <v>1</v>
      </c>
      <c r="E842" t="s">
        <v>56</v>
      </c>
      <c r="F842">
        <v>1</v>
      </c>
      <c r="G842" t="s">
        <v>57</v>
      </c>
      <c r="H842" t="s">
        <v>80</v>
      </c>
      <c r="I842" t="s">
        <v>59</v>
      </c>
      <c r="J842" t="s">
        <v>32</v>
      </c>
      <c r="K842">
        <v>810</v>
      </c>
    </row>
    <row r="843" spans="1:11" x14ac:dyDescent="0.25">
      <c r="A843" s="2">
        <v>38534</v>
      </c>
      <c r="B843">
        <v>7</v>
      </c>
      <c r="C843" t="s">
        <v>142</v>
      </c>
      <c r="D843">
        <v>1</v>
      </c>
      <c r="E843" t="s">
        <v>56</v>
      </c>
      <c r="F843">
        <v>2</v>
      </c>
      <c r="G843" t="s">
        <v>60</v>
      </c>
      <c r="H843" t="s">
        <v>80</v>
      </c>
      <c r="I843" t="s">
        <v>59</v>
      </c>
      <c r="J843" t="s">
        <v>32</v>
      </c>
      <c r="K843">
        <v>750</v>
      </c>
    </row>
    <row r="844" spans="1:11" x14ac:dyDescent="0.25">
      <c r="A844" s="2">
        <v>38534</v>
      </c>
      <c r="B844">
        <v>7</v>
      </c>
      <c r="C844" t="s">
        <v>142</v>
      </c>
      <c r="D844">
        <v>1</v>
      </c>
      <c r="E844" t="s">
        <v>56</v>
      </c>
      <c r="F844">
        <v>1</v>
      </c>
      <c r="G844" t="s">
        <v>57</v>
      </c>
      <c r="H844" t="s">
        <v>81</v>
      </c>
      <c r="I844" t="s">
        <v>82</v>
      </c>
      <c r="J844" t="s">
        <v>32</v>
      </c>
      <c r="K844">
        <v>144</v>
      </c>
    </row>
    <row r="845" spans="1:11" x14ac:dyDescent="0.25">
      <c r="A845" s="2">
        <v>38534</v>
      </c>
      <c r="B845">
        <v>7</v>
      </c>
      <c r="C845" t="s">
        <v>142</v>
      </c>
      <c r="D845">
        <v>1</v>
      </c>
      <c r="E845" t="s">
        <v>56</v>
      </c>
      <c r="F845">
        <v>1</v>
      </c>
      <c r="G845" t="s">
        <v>57</v>
      </c>
      <c r="H845" t="s">
        <v>83</v>
      </c>
      <c r="I845" t="s">
        <v>59</v>
      </c>
      <c r="J845" t="s">
        <v>32</v>
      </c>
      <c r="K845">
        <v>221</v>
      </c>
    </row>
    <row r="846" spans="1:11" x14ac:dyDescent="0.25">
      <c r="A846" s="2">
        <v>38534</v>
      </c>
      <c r="B846">
        <v>7</v>
      </c>
      <c r="C846" t="s">
        <v>142</v>
      </c>
      <c r="D846">
        <v>1</v>
      </c>
      <c r="E846" t="s">
        <v>56</v>
      </c>
      <c r="F846">
        <v>1</v>
      </c>
      <c r="G846" t="s">
        <v>57</v>
      </c>
      <c r="H846" t="s">
        <v>84</v>
      </c>
      <c r="I846" t="s">
        <v>82</v>
      </c>
      <c r="J846" t="s">
        <v>32</v>
      </c>
      <c r="K846">
        <v>-177</v>
      </c>
    </row>
    <row r="847" spans="1:11" x14ac:dyDescent="0.25">
      <c r="A847" s="2">
        <v>38534</v>
      </c>
      <c r="B847">
        <v>7</v>
      </c>
      <c r="C847" t="s">
        <v>142</v>
      </c>
      <c r="D847">
        <v>1</v>
      </c>
      <c r="E847" t="s">
        <v>56</v>
      </c>
      <c r="F847">
        <v>1</v>
      </c>
      <c r="G847" t="s">
        <v>57</v>
      </c>
      <c r="H847" t="s">
        <v>85</v>
      </c>
      <c r="I847" t="s">
        <v>82</v>
      </c>
      <c r="J847" t="s">
        <v>32</v>
      </c>
      <c r="K847">
        <v>295</v>
      </c>
    </row>
    <row r="848" spans="1:11" x14ac:dyDescent="0.25">
      <c r="A848" s="2">
        <v>38534</v>
      </c>
      <c r="B848">
        <v>7</v>
      </c>
      <c r="C848" t="s">
        <v>142</v>
      </c>
      <c r="D848">
        <v>1</v>
      </c>
      <c r="E848" t="s">
        <v>56</v>
      </c>
      <c r="F848">
        <v>1</v>
      </c>
      <c r="G848" t="s">
        <v>57</v>
      </c>
      <c r="H848" t="s">
        <v>86</v>
      </c>
      <c r="I848" t="s">
        <v>59</v>
      </c>
      <c r="J848" t="s">
        <v>32</v>
      </c>
      <c r="K848">
        <v>273</v>
      </c>
    </row>
    <row r="849" spans="1:11" x14ac:dyDescent="0.25">
      <c r="A849" s="2">
        <v>38534</v>
      </c>
      <c r="B849">
        <v>7</v>
      </c>
      <c r="C849" t="s">
        <v>142</v>
      </c>
      <c r="D849">
        <v>1</v>
      </c>
      <c r="E849" t="s">
        <v>56</v>
      </c>
      <c r="F849">
        <v>1</v>
      </c>
      <c r="G849" t="s">
        <v>57</v>
      </c>
      <c r="H849" t="s">
        <v>87</v>
      </c>
      <c r="I849" t="s">
        <v>88</v>
      </c>
      <c r="J849" t="s">
        <v>89</v>
      </c>
      <c r="K849">
        <v>9</v>
      </c>
    </row>
    <row r="850" spans="1:11" x14ac:dyDescent="0.25">
      <c r="A850" s="2">
        <v>38534</v>
      </c>
      <c r="B850">
        <v>7</v>
      </c>
      <c r="C850" t="s">
        <v>142</v>
      </c>
      <c r="D850">
        <v>2</v>
      </c>
      <c r="E850" t="s">
        <v>90</v>
      </c>
      <c r="F850">
        <v>1</v>
      </c>
      <c r="G850" t="s">
        <v>57</v>
      </c>
      <c r="H850" t="s">
        <v>91</v>
      </c>
      <c r="I850" t="s">
        <v>92</v>
      </c>
      <c r="J850" t="s">
        <v>32</v>
      </c>
      <c r="K850">
        <v>27642</v>
      </c>
    </row>
    <row r="851" spans="1:11" x14ac:dyDescent="0.25">
      <c r="A851" s="2">
        <v>38534</v>
      </c>
      <c r="B851">
        <v>7</v>
      </c>
      <c r="C851" t="s">
        <v>142</v>
      </c>
      <c r="D851">
        <v>6</v>
      </c>
      <c r="E851" t="s">
        <v>93</v>
      </c>
      <c r="F851">
        <v>1</v>
      </c>
      <c r="G851" t="s">
        <v>57</v>
      </c>
      <c r="H851" t="s">
        <v>94</v>
      </c>
      <c r="I851" t="s">
        <v>82</v>
      </c>
      <c r="J851" t="s">
        <v>32</v>
      </c>
      <c r="K851">
        <v>782</v>
      </c>
    </row>
    <row r="852" spans="1:11" x14ac:dyDescent="0.25">
      <c r="A852" s="2">
        <v>38534</v>
      </c>
      <c r="B852">
        <v>7</v>
      </c>
      <c r="C852" t="s">
        <v>142</v>
      </c>
      <c r="D852">
        <v>6</v>
      </c>
      <c r="E852" t="s">
        <v>93</v>
      </c>
      <c r="F852">
        <v>2</v>
      </c>
      <c r="G852" t="s">
        <v>60</v>
      </c>
      <c r="H852" t="s">
        <v>94</v>
      </c>
      <c r="I852" t="s">
        <v>82</v>
      </c>
      <c r="J852" t="s">
        <v>32</v>
      </c>
      <c r="K852">
        <v>900</v>
      </c>
    </row>
    <row r="853" spans="1:11" x14ac:dyDescent="0.25">
      <c r="A853" s="2">
        <v>38534</v>
      </c>
      <c r="B853">
        <v>7</v>
      </c>
      <c r="C853" t="s">
        <v>142</v>
      </c>
      <c r="D853">
        <v>6</v>
      </c>
      <c r="E853" t="s">
        <v>93</v>
      </c>
      <c r="F853">
        <v>2</v>
      </c>
      <c r="G853" t="s">
        <v>60</v>
      </c>
      <c r="H853" t="s">
        <v>95</v>
      </c>
      <c r="I853" t="s">
        <v>59</v>
      </c>
      <c r="J853" t="s">
        <v>32</v>
      </c>
      <c r="K853">
        <v>1100</v>
      </c>
    </row>
    <row r="854" spans="1:11" x14ac:dyDescent="0.25">
      <c r="A854" s="2">
        <v>38534</v>
      </c>
      <c r="B854">
        <v>7</v>
      </c>
      <c r="C854" t="s">
        <v>142</v>
      </c>
      <c r="D854">
        <v>6</v>
      </c>
      <c r="E854" t="s">
        <v>93</v>
      </c>
      <c r="F854">
        <v>1</v>
      </c>
      <c r="G854" t="s">
        <v>57</v>
      </c>
      <c r="H854" t="s">
        <v>95</v>
      </c>
      <c r="I854" t="s">
        <v>59</v>
      </c>
      <c r="J854" t="s">
        <v>32</v>
      </c>
      <c r="K854">
        <v>782</v>
      </c>
    </row>
    <row r="855" spans="1:11" x14ac:dyDescent="0.25">
      <c r="A855" s="2">
        <v>38534</v>
      </c>
      <c r="B855">
        <v>7</v>
      </c>
      <c r="C855" t="s">
        <v>142</v>
      </c>
      <c r="D855">
        <v>6</v>
      </c>
      <c r="E855" t="s">
        <v>93</v>
      </c>
      <c r="F855">
        <v>1</v>
      </c>
      <c r="G855" t="s">
        <v>57</v>
      </c>
      <c r="H855" t="s">
        <v>96</v>
      </c>
      <c r="I855" t="s">
        <v>59</v>
      </c>
      <c r="J855" t="s">
        <v>32</v>
      </c>
      <c r="K855">
        <v>28863</v>
      </c>
    </row>
    <row r="856" spans="1:11" x14ac:dyDescent="0.25">
      <c r="A856" s="2">
        <v>38534</v>
      </c>
      <c r="B856">
        <v>7</v>
      </c>
      <c r="C856" t="s">
        <v>142</v>
      </c>
      <c r="D856">
        <v>6</v>
      </c>
      <c r="E856" t="s">
        <v>93</v>
      </c>
      <c r="F856">
        <v>2</v>
      </c>
      <c r="G856" t="s">
        <v>60</v>
      </c>
      <c r="H856" t="s">
        <v>96</v>
      </c>
      <c r="I856" t="s">
        <v>59</v>
      </c>
      <c r="J856" t="s">
        <v>32</v>
      </c>
      <c r="K856">
        <v>28900</v>
      </c>
    </row>
    <row r="857" spans="1:11" x14ac:dyDescent="0.25">
      <c r="A857" s="2">
        <v>38534</v>
      </c>
      <c r="B857">
        <v>7</v>
      </c>
      <c r="C857" t="s">
        <v>142</v>
      </c>
      <c r="D857">
        <v>6</v>
      </c>
      <c r="E857" t="s">
        <v>93</v>
      </c>
      <c r="F857">
        <v>2</v>
      </c>
      <c r="G857" t="s">
        <v>60</v>
      </c>
      <c r="H857" t="s">
        <v>97</v>
      </c>
      <c r="I857" t="s">
        <v>59</v>
      </c>
      <c r="J857" t="s">
        <v>32</v>
      </c>
      <c r="K857">
        <v>2300</v>
      </c>
    </row>
    <row r="858" spans="1:11" x14ac:dyDescent="0.25">
      <c r="A858" s="2">
        <v>38534</v>
      </c>
      <c r="B858">
        <v>7</v>
      </c>
      <c r="C858" t="s">
        <v>142</v>
      </c>
      <c r="D858">
        <v>6</v>
      </c>
      <c r="E858" t="s">
        <v>93</v>
      </c>
      <c r="F858">
        <v>1</v>
      </c>
      <c r="G858" t="s">
        <v>57</v>
      </c>
      <c r="H858" t="s">
        <v>97</v>
      </c>
      <c r="I858" t="s">
        <v>59</v>
      </c>
      <c r="J858" t="s">
        <v>32</v>
      </c>
      <c r="K858">
        <v>2607</v>
      </c>
    </row>
    <row r="859" spans="1:11" x14ac:dyDescent="0.25">
      <c r="A859" s="2">
        <v>38534</v>
      </c>
      <c r="B859">
        <v>7</v>
      </c>
      <c r="C859" t="s">
        <v>142</v>
      </c>
      <c r="D859">
        <v>6</v>
      </c>
      <c r="E859" t="s">
        <v>93</v>
      </c>
      <c r="F859">
        <v>1</v>
      </c>
      <c r="G859" t="s">
        <v>57</v>
      </c>
      <c r="H859" t="s">
        <v>58</v>
      </c>
      <c r="I859" t="s">
        <v>59</v>
      </c>
      <c r="J859" t="s">
        <v>32</v>
      </c>
      <c r="K859">
        <v>28840</v>
      </c>
    </row>
    <row r="860" spans="1:11" x14ac:dyDescent="0.25">
      <c r="A860" s="2">
        <v>38534</v>
      </c>
      <c r="B860">
        <v>7</v>
      </c>
      <c r="C860" t="s">
        <v>142</v>
      </c>
      <c r="D860">
        <v>6</v>
      </c>
      <c r="E860" t="s">
        <v>93</v>
      </c>
      <c r="F860">
        <v>2</v>
      </c>
      <c r="G860" t="s">
        <v>60</v>
      </c>
      <c r="H860" t="s">
        <v>58</v>
      </c>
      <c r="I860" t="s">
        <v>59</v>
      </c>
      <c r="J860" t="s">
        <v>32</v>
      </c>
      <c r="K860">
        <v>28200</v>
      </c>
    </row>
    <row r="861" spans="1:11" x14ac:dyDescent="0.25">
      <c r="A861" s="2">
        <v>38534</v>
      </c>
      <c r="B861">
        <v>7</v>
      </c>
      <c r="C861" t="s">
        <v>142</v>
      </c>
      <c r="D861">
        <v>6</v>
      </c>
      <c r="E861" t="s">
        <v>93</v>
      </c>
      <c r="F861">
        <v>2</v>
      </c>
      <c r="G861" t="s">
        <v>60</v>
      </c>
      <c r="H861" t="s">
        <v>61</v>
      </c>
      <c r="I861" t="s">
        <v>59</v>
      </c>
      <c r="J861" t="s">
        <v>32</v>
      </c>
      <c r="K861">
        <v>2500</v>
      </c>
    </row>
    <row r="862" spans="1:11" x14ac:dyDescent="0.25">
      <c r="A862" s="2">
        <v>38534</v>
      </c>
      <c r="B862">
        <v>7</v>
      </c>
      <c r="C862" t="s">
        <v>142</v>
      </c>
      <c r="D862">
        <v>6</v>
      </c>
      <c r="E862" t="s">
        <v>93</v>
      </c>
      <c r="F862">
        <v>1</v>
      </c>
      <c r="G862" t="s">
        <v>57</v>
      </c>
      <c r="H862" t="s">
        <v>61</v>
      </c>
      <c r="I862" t="s">
        <v>59</v>
      </c>
      <c r="J862" t="s">
        <v>32</v>
      </c>
      <c r="K862">
        <v>3172</v>
      </c>
    </row>
    <row r="863" spans="1:11" x14ac:dyDescent="0.25">
      <c r="A863" s="2">
        <v>38534</v>
      </c>
      <c r="B863">
        <v>7</v>
      </c>
      <c r="C863" t="s">
        <v>142</v>
      </c>
      <c r="D863">
        <v>6</v>
      </c>
      <c r="E863" t="s">
        <v>93</v>
      </c>
      <c r="F863">
        <v>1</v>
      </c>
      <c r="G863" t="s">
        <v>57</v>
      </c>
      <c r="H863" t="s">
        <v>62</v>
      </c>
      <c r="I863" t="s">
        <v>59</v>
      </c>
      <c r="J863" t="s">
        <v>32</v>
      </c>
      <c r="K863">
        <v>2307</v>
      </c>
    </row>
    <row r="864" spans="1:11" x14ac:dyDescent="0.25">
      <c r="A864" s="2">
        <v>38534</v>
      </c>
      <c r="B864">
        <v>7</v>
      </c>
      <c r="C864" t="s">
        <v>142</v>
      </c>
      <c r="D864">
        <v>6</v>
      </c>
      <c r="E864" t="s">
        <v>93</v>
      </c>
      <c r="F864">
        <v>2</v>
      </c>
      <c r="G864" t="s">
        <v>60</v>
      </c>
      <c r="H864" t="s">
        <v>62</v>
      </c>
      <c r="I864" t="s">
        <v>59</v>
      </c>
      <c r="J864" t="s">
        <v>32</v>
      </c>
      <c r="K864">
        <v>2200</v>
      </c>
    </row>
    <row r="865" spans="1:11" x14ac:dyDescent="0.25">
      <c r="A865" s="2">
        <v>38534</v>
      </c>
      <c r="B865">
        <v>7</v>
      </c>
      <c r="C865" t="s">
        <v>142</v>
      </c>
      <c r="D865">
        <v>6</v>
      </c>
      <c r="E865" t="s">
        <v>93</v>
      </c>
      <c r="F865">
        <v>2</v>
      </c>
      <c r="G865" t="s">
        <v>60</v>
      </c>
      <c r="H865" t="s">
        <v>98</v>
      </c>
      <c r="I865" t="s">
        <v>59</v>
      </c>
      <c r="J865" t="s">
        <v>32</v>
      </c>
      <c r="K865">
        <v>13500</v>
      </c>
    </row>
    <row r="866" spans="1:11" x14ac:dyDescent="0.25">
      <c r="A866" s="2">
        <v>38534</v>
      </c>
      <c r="B866">
        <v>7</v>
      </c>
      <c r="C866" t="s">
        <v>142</v>
      </c>
      <c r="D866">
        <v>6</v>
      </c>
      <c r="E866" t="s">
        <v>93</v>
      </c>
      <c r="F866">
        <v>1</v>
      </c>
      <c r="G866" t="s">
        <v>57</v>
      </c>
      <c r="H866" t="s">
        <v>98</v>
      </c>
      <c r="I866" t="s">
        <v>59</v>
      </c>
      <c r="J866" t="s">
        <v>32</v>
      </c>
      <c r="K866">
        <v>2347</v>
      </c>
    </row>
    <row r="867" spans="1:11" x14ac:dyDescent="0.25">
      <c r="A867" s="2">
        <v>38534</v>
      </c>
      <c r="B867">
        <v>7</v>
      </c>
      <c r="C867" t="s">
        <v>142</v>
      </c>
      <c r="D867">
        <v>6</v>
      </c>
      <c r="E867" t="s">
        <v>93</v>
      </c>
      <c r="F867">
        <v>1</v>
      </c>
      <c r="G867" t="s">
        <v>57</v>
      </c>
      <c r="H867" t="s">
        <v>63</v>
      </c>
      <c r="I867" t="s">
        <v>59</v>
      </c>
      <c r="J867" t="s">
        <v>32</v>
      </c>
      <c r="K867">
        <v>469</v>
      </c>
    </row>
    <row r="868" spans="1:11" x14ac:dyDescent="0.25">
      <c r="A868" s="2">
        <v>38534</v>
      </c>
      <c r="B868">
        <v>7</v>
      </c>
      <c r="C868" t="s">
        <v>142</v>
      </c>
      <c r="D868">
        <v>6</v>
      </c>
      <c r="E868" t="s">
        <v>93</v>
      </c>
      <c r="F868">
        <v>2</v>
      </c>
      <c r="G868" t="s">
        <v>60</v>
      </c>
      <c r="H868" t="s">
        <v>63</v>
      </c>
      <c r="I868" t="s">
        <v>59</v>
      </c>
      <c r="J868" t="s">
        <v>32</v>
      </c>
      <c r="K868">
        <v>480</v>
      </c>
    </row>
    <row r="869" spans="1:11" x14ac:dyDescent="0.25">
      <c r="A869" s="2">
        <v>38534</v>
      </c>
      <c r="B869">
        <v>7</v>
      </c>
      <c r="C869" t="s">
        <v>142</v>
      </c>
      <c r="D869">
        <v>6</v>
      </c>
      <c r="E869" t="s">
        <v>93</v>
      </c>
      <c r="F869">
        <v>2</v>
      </c>
      <c r="G869" t="s">
        <v>60</v>
      </c>
      <c r="H869" t="s">
        <v>64</v>
      </c>
      <c r="I869" t="s">
        <v>59</v>
      </c>
      <c r="J869" t="s">
        <v>32</v>
      </c>
      <c r="K869">
        <v>480</v>
      </c>
    </row>
    <row r="870" spans="1:11" x14ac:dyDescent="0.25">
      <c r="A870" s="2">
        <v>38534</v>
      </c>
      <c r="B870">
        <v>7</v>
      </c>
      <c r="C870" t="s">
        <v>142</v>
      </c>
      <c r="D870">
        <v>6</v>
      </c>
      <c r="E870" t="s">
        <v>93</v>
      </c>
      <c r="F870">
        <v>1</v>
      </c>
      <c r="G870" t="s">
        <v>57</v>
      </c>
      <c r="H870" t="s">
        <v>64</v>
      </c>
      <c r="I870" t="s">
        <v>59</v>
      </c>
      <c r="J870" t="s">
        <v>32</v>
      </c>
      <c r="K870">
        <v>426</v>
      </c>
    </row>
    <row r="871" spans="1:11" x14ac:dyDescent="0.25">
      <c r="A871" s="2">
        <v>38534</v>
      </c>
      <c r="B871">
        <v>7</v>
      </c>
      <c r="C871" t="s">
        <v>142</v>
      </c>
      <c r="D871">
        <v>6</v>
      </c>
      <c r="E871" t="s">
        <v>93</v>
      </c>
      <c r="F871">
        <v>1</v>
      </c>
      <c r="G871" t="s">
        <v>57</v>
      </c>
      <c r="H871" t="s">
        <v>65</v>
      </c>
      <c r="I871" t="s">
        <v>59</v>
      </c>
      <c r="J871" t="s">
        <v>32</v>
      </c>
      <c r="K871">
        <v>217</v>
      </c>
    </row>
    <row r="872" spans="1:11" x14ac:dyDescent="0.25">
      <c r="A872" s="2">
        <v>38534</v>
      </c>
      <c r="B872">
        <v>7</v>
      </c>
      <c r="C872" t="s">
        <v>142</v>
      </c>
      <c r="D872">
        <v>6</v>
      </c>
      <c r="E872" t="s">
        <v>93</v>
      </c>
      <c r="F872">
        <v>2</v>
      </c>
      <c r="G872" t="s">
        <v>60</v>
      </c>
      <c r="H872" t="s">
        <v>65</v>
      </c>
      <c r="I872" t="s">
        <v>59</v>
      </c>
      <c r="J872" t="s">
        <v>32</v>
      </c>
      <c r="K872">
        <v>200</v>
      </c>
    </row>
    <row r="873" spans="1:11" x14ac:dyDescent="0.25">
      <c r="A873" s="2">
        <v>38534</v>
      </c>
      <c r="B873">
        <v>7</v>
      </c>
      <c r="C873" t="s">
        <v>142</v>
      </c>
      <c r="D873">
        <v>6</v>
      </c>
      <c r="E873" t="s">
        <v>93</v>
      </c>
      <c r="F873">
        <v>2</v>
      </c>
      <c r="G873" t="s">
        <v>60</v>
      </c>
      <c r="H873" t="s">
        <v>66</v>
      </c>
      <c r="I873" t="s">
        <v>59</v>
      </c>
      <c r="J873" t="s">
        <v>32</v>
      </c>
      <c r="K873">
        <v>200</v>
      </c>
    </row>
    <row r="874" spans="1:11" x14ac:dyDescent="0.25">
      <c r="A874" s="2">
        <v>38534</v>
      </c>
      <c r="B874">
        <v>7</v>
      </c>
      <c r="C874" t="s">
        <v>142</v>
      </c>
      <c r="D874">
        <v>6</v>
      </c>
      <c r="E874" t="s">
        <v>93</v>
      </c>
      <c r="F874">
        <v>1</v>
      </c>
      <c r="G874" t="s">
        <v>57</v>
      </c>
      <c r="H874" t="s">
        <v>66</v>
      </c>
      <c r="I874" t="s">
        <v>59</v>
      </c>
      <c r="J874" t="s">
        <v>32</v>
      </c>
      <c r="K874">
        <v>161</v>
      </c>
    </row>
    <row r="875" spans="1:11" x14ac:dyDescent="0.25">
      <c r="A875" s="2">
        <v>38534</v>
      </c>
      <c r="B875">
        <v>7</v>
      </c>
      <c r="C875" t="s">
        <v>142</v>
      </c>
      <c r="D875">
        <v>6</v>
      </c>
      <c r="E875" t="s">
        <v>93</v>
      </c>
      <c r="F875">
        <v>1</v>
      </c>
      <c r="G875" t="s">
        <v>57</v>
      </c>
      <c r="H875" t="s">
        <v>67</v>
      </c>
      <c r="I875" t="s">
        <v>59</v>
      </c>
      <c r="J875" t="s">
        <v>32</v>
      </c>
      <c r="K875">
        <v>47</v>
      </c>
    </row>
    <row r="876" spans="1:11" x14ac:dyDescent="0.25">
      <c r="A876" s="2">
        <v>38534</v>
      </c>
      <c r="B876">
        <v>7</v>
      </c>
      <c r="C876" t="s">
        <v>142</v>
      </c>
      <c r="D876">
        <v>6</v>
      </c>
      <c r="E876" t="s">
        <v>93</v>
      </c>
      <c r="F876">
        <v>1</v>
      </c>
      <c r="G876" t="s">
        <v>57</v>
      </c>
      <c r="H876" t="s">
        <v>68</v>
      </c>
      <c r="I876" t="s">
        <v>59</v>
      </c>
      <c r="J876" t="s">
        <v>32</v>
      </c>
      <c r="K876">
        <v>49</v>
      </c>
    </row>
    <row r="877" spans="1:11" x14ac:dyDescent="0.25">
      <c r="A877" s="2">
        <v>38534</v>
      </c>
      <c r="B877">
        <v>7</v>
      </c>
      <c r="C877" t="s">
        <v>142</v>
      </c>
      <c r="D877">
        <v>6</v>
      </c>
      <c r="E877" t="s">
        <v>93</v>
      </c>
      <c r="F877">
        <v>2</v>
      </c>
      <c r="G877" t="s">
        <v>60</v>
      </c>
      <c r="H877" t="s">
        <v>68</v>
      </c>
      <c r="I877" t="s">
        <v>59</v>
      </c>
      <c r="J877" t="s">
        <v>32</v>
      </c>
      <c r="K877">
        <v>70</v>
      </c>
    </row>
    <row r="878" spans="1:11" x14ac:dyDescent="0.25">
      <c r="A878" s="2">
        <v>38534</v>
      </c>
      <c r="B878">
        <v>7</v>
      </c>
      <c r="C878" t="s">
        <v>142</v>
      </c>
      <c r="D878">
        <v>6</v>
      </c>
      <c r="E878" t="s">
        <v>93</v>
      </c>
      <c r="F878">
        <v>2</v>
      </c>
      <c r="G878" t="s">
        <v>60</v>
      </c>
      <c r="H878" t="s">
        <v>99</v>
      </c>
      <c r="I878" t="s">
        <v>59</v>
      </c>
      <c r="J878" t="s">
        <v>32</v>
      </c>
      <c r="K878">
        <v>480</v>
      </c>
    </row>
    <row r="879" spans="1:11" x14ac:dyDescent="0.25">
      <c r="A879" s="2">
        <v>38534</v>
      </c>
      <c r="B879">
        <v>7</v>
      </c>
      <c r="C879" t="s">
        <v>142</v>
      </c>
      <c r="D879">
        <v>6</v>
      </c>
      <c r="E879" t="s">
        <v>93</v>
      </c>
      <c r="F879">
        <v>1</v>
      </c>
      <c r="G879" t="s">
        <v>57</v>
      </c>
      <c r="H879" t="s">
        <v>99</v>
      </c>
      <c r="I879" t="s">
        <v>59</v>
      </c>
      <c r="J879" t="s">
        <v>32</v>
      </c>
      <c r="K879">
        <v>156</v>
      </c>
    </row>
    <row r="880" spans="1:11" x14ac:dyDescent="0.25">
      <c r="A880" s="2">
        <v>38534</v>
      </c>
      <c r="B880">
        <v>7</v>
      </c>
      <c r="C880" t="s">
        <v>142</v>
      </c>
      <c r="D880">
        <v>6</v>
      </c>
      <c r="E880" t="s">
        <v>93</v>
      </c>
      <c r="F880">
        <v>1</v>
      </c>
      <c r="G880" t="s">
        <v>57</v>
      </c>
      <c r="H880" t="s">
        <v>69</v>
      </c>
      <c r="I880" t="s">
        <v>59</v>
      </c>
      <c r="J880" t="s">
        <v>32</v>
      </c>
      <c r="K880">
        <v>300</v>
      </c>
    </row>
    <row r="881" spans="1:11" x14ac:dyDescent="0.25">
      <c r="A881" s="2">
        <v>38534</v>
      </c>
      <c r="B881">
        <v>7</v>
      </c>
      <c r="C881" t="s">
        <v>142</v>
      </c>
      <c r="D881">
        <v>6</v>
      </c>
      <c r="E881" t="s">
        <v>93</v>
      </c>
      <c r="F881">
        <v>2</v>
      </c>
      <c r="G881" t="s">
        <v>60</v>
      </c>
      <c r="H881" t="s">
        <v>69</v>
      </c>
      <c r="I881" t="s">
        <v>59</v>
      </c>
      <c r="J881" t="s">
        <v>32</v>
      </c>
      <c r="K881">
        <v>300</v>
      </c>
    </row>
    <row r="882" spans="1:11" x14ac:dyDescent="0.25">
      <c r="A882" s="2">
        <v>38534</v>
      </c>
      <c r="B882">
        <v>7</v>
      </c>
      <c r="C882" t="s">
        <v>142</v>
      </c>
      <c r="D882">
        <v>6</v>
      </c>
      <c r="E882" t="s">
        <v>93</v>
      </c>
      <c r="F882">
        <v>2</v>
      </c>
      <c r="G882" t="s">
        <v>60</v>
      </c>
      <c r="H882" t="s">
        <v>70</v>
      </c>
      <c r="I882" t="s">
        <v>59</v>
      </c>
      <c r="J882" t="s">
        <v>32</v>
      </c>
      <c r="K882">
        <v>200</v>
      </c>
    </row>
    <row r="883" spans="1:11" x14ac:dyDescent="0.25">
      <c r="A883" s="2">
        <v>38534</v>
      </c>
      <c r="B883">
        <v>7</v>
      </c>
      <c r="C883" t="s">
        <v>142</v>
      </c>
      <c r="D883">
        <v>6</v>
      </c>
      <c r="E883" t="s">
        <v>93</v>
      </c>
      <c r="F883">
        <v>1</v>
      </c>
      <c r="G883" t="s">
        <v>57</v>
      </c>
      <c r="H883" t="s">
        <v>70</v>
      </c>
      <c r="I883" t="s">
        <v>59</v>
      </c>
      <c r="J883" t="s">
        <v>32</v>
      </c>
      <c r="K883">
        <v>217</v>
      </c>
    </row>
    <row r="884" spans="1:11" x14ac:dyDescent="0.25">
      <c r="A884" s="2">
        <v>38534</v>
      </c>
      <c r="B884">
        <v>7</v>
      </c>
      <c r="C884" t="s">
        <v>142</v>
      </c>
      <c r="D884">
        <v>6</v>
      </c>
      <c r="E884" t="s">
        <v>93</v>
      </c>
      <c r="F884">
        <v>1</v>
      </c>
      <c r="G884" t="s">
        <v>57</v>
      </c>
      <c r="H884" t="s">
        <v>71</v>
      </c>
      <c r="I884" t="s">
        <v>59</v>
      </c>
      <c r="J884" t="s">
        <v>32</v>
      </c>
      <c r="K884">
        <v>985</v>
      </c>
    </row>
    <row r="885" spans="1:11" x14ac:dyDescent="0.25">
      <c r="A885" s="2">
        <v>38534</v>
      </c>
      <c r="B885">
        <v>7</v>
      </c>
      <c r="C885" t="s">
        <v>142</v>
      </c>
      <c r="D885">
        <v>6</v>
      </c>
      <c r="E885" t="s">
        <v>93</v>
      </c>
      <c r="F885">
        <v>2</v>
      </c>
      <c r="G885" t="s">
        <v>60</v>
      </c>
      <c r="H885" t="s">
        <v>71</v>
      </c>
      <c r="I885" t="s">
        <v>59</v>
      </c>
      <c r="J885" t="s">
        <v>32</v>
      </c>
      <c r="K885">
        <v>3100</v>
      </c>
    </row>
    <row r="886" spans="1:11" x14ac:dyDescent="0.25">
      <c r="A886" s="2">
        <v>38534</v>
      </c>
      <c r="B886">
        <v>7</v>
      </c>
      <c r="C886" t="s">
        <v>142</v>
      </c>
      <c r="D886">
        <v>6</v>
      </c>
      <c r="E886" t="s">
        <v>93</v>
      </c>
      <c r="F886">
        <v>2</v>
      </c>
      <c r="G886" t="s">
        <v>60</v>
      </c>
      <c r="H886" t="s">
        <v>72</v>
      </c>
      <c r="I886" t="s">
        <v>59</v>
      </c>
      <c r="J886" t="s">
        <v>32</v>
      </c>
      <c r="K886">
        <v>550</v>
      </c>
    </row>
    <row r="887" spans="1:11" x14ac:dyDescent="0.25">
      <c r="A887" s="2">
        <v>38534</v>
      </c>
      <c r="B887">
        <v>7</v>
      </c>
      <c r="C887" t="s">
        <v>142</v>
      </c>
      <c r="D887">
        <v>6</v>
      </c>
      <c r="E887" t="s">
        <v>93</v>
      </c>
      <c r="F887">
        <v>1</v>
      </c>
      <c r="G887" t="s">
        <v>57</v>
      </c>
      <c r="H887" t="s">
        <v>72</v>
      </c>
      <c r="I887" t="s">
        <v>59</v>
      </c>
      <c r="J887" t="s">
        <v>32</v>
      </c>
      <c r="K887">
        <v>636</v>
      </c>
    </row>
    <row r="888" spans="1:11" x14ac:dyDescent="0.25">
      <c r="A888" s="2">
        <v>38534</v>
      </c>
      <c r="B888">
        <v>7</v>
      </c>
      <c r="C888" t="s">
        <v>142</v>
      </c>
      <c r="D888">
        <v>6</v>
      </c>
      <c r="E888" t="s">
        <v>93</v>
      </c>
      <c r="F888">
        <v>1</v>
      </c>
      <c r="G888" t="s">
        <v>57</v>
      </c>
      <c r="H888" t="s">
        <v>73</v>
      </c>
      <c r="I888" t="s">
        <v>59</v>
      </c>
      <c r="J888" t="s">
        <v>32</v>
      </c>
      <c r="K888">
        <v>179</v>
      </c>
    </row>
    <row r="889" spans="1:11" x14ac:dyDescent="0.25">
      <c r="A889" s="2">
        <v>38534</v>
      </c>
      <c r="B889">
        <v>7</v>
      </c>
      <c r="C889" t="s">
        <v>142</v>
      </c>
      <c r="D889">
        <v>6</v>
      </c>
      <c r="E889" t="s">
        <v>93</v>
      </c>
      <c r="F889">
        <v>2</v>
      </c>
      <c r="G889" t="s">
        <v>60</v>
      </c>
      <c r="H889" t="s">
        <v>73</v>
      </c>
      <c r="I889" t="s">
        <v>59</v>
      </c>
      <c r="J889" t="s">
        <v>32</v>
      </c>
      <c r="K889">
        <v>200</v>
      </c>
    </row>
    <row r="890" spans="1:11" x14ac:dyDescent="0.25">
      <c r="A890" s="2">
        <v>38534</v>
      </c>
      <c r="B890">
        <v>7</v>
      </c>
      <c r="C890" t="s">
        <v>142</v>
      </c>
      <c r="D890">
        <v>6</v>
      </c>
      <c r="E890" t="s">
        <v>93</v>
      </c>
      <c r="F890">
        <v>2</v>
      </c>
      <c r="G890" t="s">
        <v>60</v>
      </c>
      <c r="H890" t="s">
        <v>74</v>
      </c>
      <c r="I890" t="s">
        <v>59</v>
      </c>
      <c r="J890" t="s">
        <v>32</v>
      </c>
      <c r="K890">
        <v>650</v>
      </c>
    </row>
    <row r="891" spans="1:11" x14ac:dyDescent="0.25">
      <c r="A891" s="2">
        <v>38534</v>
      </c>
      <c r="B891">
        <v>7</v>
      </c>
      <c r="C891" t="s">
        <v>142</v>
      </c>
      <c r="D891">
        <v>6</v>
      </c>
      <c r="E891" t="s">
        <v>93</v>
      </c>
      <c r="F891">
        <v>1</v>
      </c>
      <c r="G891" t="s">
        <v>57</v>
      </c>
      <c r="H891" t="s">
        <v>74</v>
      </c>
      <c r="I891" t="s">
        <v>59</v>
      </c>
      <c r="J891" t="s">
        <v>32</v>
      </c>
      <c r="K891">
        <v>676</v>
      </c>
    </row>
    <row r="892" spans="1:11" x14ac:dyDescent="0.25">
      <c r="A892" s="2">
        <v>38534</v>
      </c>
      <c r="B892">
        <v>7</v>
      </c>
      <c r="C892" t="s">
        <v>142</v>
      </c>
      <c r="D892">
        <v>6</v>
      </c>
      <c r="E892" t="s">
        <v>93</v>
      </c>
      <c r="F892">
        <v>1</v>
      </c>
      <c r="G892" t="s">
        <v>57</v>
      </c>
      <c r="H892" t="s">
        <v>75</v>
      </c>
      <c r="I892" t="s">
        <v>59</v>
      </c>
      <c r="J892" t="s">
        <v>32</v>
      </c>
      <c r="K892">
        <v>418</v>
      </c>
    </row>
    <row r="893" spans="1:11" x14ac:dyDescent="0.25">
      <c r="A893" s="2">
        <v>38534</v>
      </c>
      <c r="B893">
        <v>7</v>
      </c>
      <c r="C893" t="s">
        <v>142</v>
      </c>
      <c r="D893">
        <v>6</v>
      </c>
      <c r="E893" t="s">
        <v>93</v>
      </c>
      <c r="F893">
        <v>2</v>
      </c>
      <c r="G893" t="s">
        <v>60</v>
      </c>
      <c r="H893" t="s">
        <v>75</v>
      </c>
      <c r="I893" t="s">
        <v>59</v>
      </c>
      <c r="J893" t="s">
        <v>32</v>
      </c>
      <c r="K893">
        <v>380</v>
      </c>
    </row>
    <row r="894" spans="1:11" x14ac:dyDescent="0.25">
      <c r="A894" s="2">
        <v>38534</v>
      </c>
      <c r="B894">
        <v>7</v>
      </c>
      <c r="C894" t="s">
        <v>142</v>
      </c>
      <c r="D894">
        <v>6</v>
      </c>
      <c r="E894" t="s">
        <v>93</v>
      </c>
      <c r="F894">
        <v>2</v>
      </c>
      <c r="G894" t="s">
        <v>60</v>
      </c>
      <c r="H894" t="s">
        <v>76</v>
      </c>
      <c r="I894" t="s">
        <v>59</v>
      </c>
      <c r="J894" t="s">
        <v>32</v>
      </c>
      <c r="K894">
        <v>40</v>
      </c>
    </row>
    <row r="895" spans="1:11" x14ac:dyDescent="0.25">
      <c r="A895" s="2">
        <v>38534</v>
      </c>
      <c r="B895">
        <v>7</v>
      </c>
      <c r="C895" t="s">
        <v>142</v>
      </c>
      <c r="D895">
        <v>6</v>
      </c>
      <c r="E895" t="s">
        <v>93</v>
      </c>
      <c r="F895">
        <v>1</v>
      </c>
      <c r="G895" t="s">
        <v>57</v>
      </c>
      <c r="H895" t="s">
        <v>76</v>
      </c>
      <c r="I895" t="s">
        <v>59</v>
      </c>
      <c r="J895" t="s">
        <v>32</v>
      </c>
      <c r="K895">
        <v>41</v>
      </c>
    </row>
    <row r="896" spans="1:11" x14ac:dyDescent="0.25">
      <c r="A896" s="2">
        <v>38534</v>
      </c>
      <c r="B896">
        <v>7</v>
      </c>
      <c r="C896" t="s">
        <v>142</v>
      </c>
      <c r="D896">
        <v>6</v>
      </c>
      <c r="E896" t="s">
        <v>93</v>
      </c>
      <c r="F896">
        <v>1</v>
      </c>
      <c r="G896" t="s">
        <v>57</v>
      </c>
      <c r="H896" t="s">
        <v>77</v>
      </c>
      <c r="I896" t="s">
        <v>59</v>
      </c>
      <c r="J896" t="s">
        <v>32</v>
      </c>
      <c r="K896">
        <v>143</v>
      </c>
    </row>
    <row r="897" spans="1:11" x14ac:dyDescent="0.25">
      <c r="A897" s="2">
        <v>38534</v>
      </c>
      <c r="B897">
        <v>7</v>
      </c>
      <c r="C897" t="s">
        <v>142</v>
      </c>
      <c r="D897">
        <v>6</v>
      </c>
      <c r="E897" t="s">
        <v>93</v>
      </c>
      <c r="F897">
        <v>2</v>
      </c>
      <c r="G897" t="s">
        <v>60</v>
      </c>
      <c r="H897" t="s">
        <v>77</v>
      </c>
      <c r="I897" t="s">
        <v>59</v>
      </c>
      <c r="J897" t="s">
        <v>32</v>
      </c>
      <c r="K897">
        <v>100</v>
      </c>
    </row>
    <row r="898" spans="1:11" x14ac:dyDescent="0.25">
      <c r="A898" s="2">
        <v>38534</v>
      </c>
      <c r="B898">
        <v>7</v>
      </c>
      <c r="C898" t="s">
        <v>142</v>
      </c>
      <c r="D898">
        <v>6</v>
      </c>
      <c r="E898" t="s">
        <v>93</v>
      </c>
      <c r="F898">
        <v>2</v>
      </c>
      <c r="G898" t="s">
        <v>60</v>
      </c>
      <c r="H898" t="s">
        <v>78</v>
      </c>
      <c r="I898" t="s">
        <v>59</v>
      </c>
      <c r="J898" t="s">
        <v>32</v>
      </c>
      <c r="K898">
        <v>100</v>
      </c>
    </row>
    <row r="899" spans="1:11" x14ac:dyDescent="0.25">
      <c r="A899" s="2">
        <v>38534</v>
      </c>
      <c r="B899">
        <v>7</v>
      </c>
      <c r="C899" t="s">
        <v>142</v>
      </c>
      <c r="D899">
        <v>6</v>
      </c>
      <c r="E899" t="s">
        <v>93</v>
      </c>
      <c r="F899">
        <v>1</v>
      </c>
      <c r="G899" t="s">
        <v>57</v>
      </c>
      <c r="H899" t="s">
        <v>78</v>
      </c>
      <c r="I899" t="s">
        <v>59</v>
      </c>
      <c r="J899" t="s">
        <v>32</v>
      </c>
      <c r="K899">
        <v>119</v>
      </c>
    </row>
    <row r="900" spans="1:11" x14ac:dyDescent="0.25">
      <c r="A900" s="2">
        <v>38534</v>
      </c>
      <c r="B900">
        <v>7</v>
      </c>
      <c r="C900" t="s">
        <v>142</v>
      </c>
      <c r="D900">
        <v>6</v>
      </c>
      <c r="E900" t="s">
        <v>93</v>
      </c>
      <c r="F900">
        <v>1</v>
      </c>
      <c r="G900" t="s">
        <v>57</v>
      </c>
      <c r="H900" t="s">
        <v>79</v>
      </c>
      <c r="I900" t="s">
        <v>59</v>
      </c>
      <c r="J900" t="s">
        <v>32</v>
      </c>
      <c r="K900">
        <v>114</v>
      </c>
    </row>
    <row r="901" spans="1:11" x14ac:dyDescent="0.25">
      <c r="A901" s="2">
        <v>38534</v>
      </c>
      <c r="B901">
        <v>7</v>
      </c>
      <c r="C901" t="s">
        <v>142</v>
      </c>
      <c r="D901">
        <v>6</v>
      </c>
      <c r="E901" t="s">
        <v>93</v>
      </c>
      <c r="F901">
        <v>2</v>
      </c>
      <c r="G901" t="s">
        <v>60</v>
      </c>
      <c r="H901" t="s">
        <v>79</v>
      </c>
      <c r="I901" t="s">
        <v>59</v>
      </c>
      <c r="J901" t="s">
        <v>32</v>
      </c>
      <c r="K901">
        <v>100</v>
      </c>
    </row>
    <row r="902" spans="1:11" x14ac:dyDescent="0.25">
      <c r="A902" s="2">
        <v>38534</v>
      </c>
      <c r="B902">
        <v>7</v>
      </c>
      <c r="C902" t="s">
        <v>142</v>
      </c>
      <c r="D902">
        <v>6</v>
      </c>
      <c r="E902" t="s">
        <v>93</v>
      </c>
      <c r="F902">
        <v>2</v>
      </c>
      <c r="G902" t="s">
        <v>60</v>
      </c>
      <c r="H902" t="s">
        <v>80</v>
      </c>
      <c r="I902" t="s">
        <v>59</v>
      </c>
      <c r="J902" t="s">
        <v>32</v>
      </c>
      <c r="K902">
        <v>550</v>
      </c>
    </row>
    <row r="903" spans="1:11" x14ac:dyDescent="0.25">
      <c r="A903" s="2">
        <v>38534</v>
      </c>
      <c r="B903">
        <v>7</v>
      </c>
      <c r="C903" t="s">
        <v>142</v>
      </c>
      <c r="D903">
        <v>6</v>
      </c>
      <c r="E903" t="s">
        <v>93</v>
      </c>
      <c r="F903">
        <v>1</v>
      </c>
      <c r="G903" t="s">
        <v>57</v>
      </c>
      <c r="H903" t="s">
        <v>80</v>
      </c>
      <c r="I903" t="s">
        <v>59</v>
      </c>
      <c r="J903" t="s">
        <v>32</v>
      </c>
      <c r="K903">
        <v>630</v>
      </c>
    </row>
    <row r="904" spans="1:11" x14ac:dyDescent="0.25">
      <c r="A904" s="2">
        <v>38534</v>
      </c>
      <c r="B904">
        <v>7</v>
      </c>
      <c r="C904" t="s">
        <v>142</v>
      </c>
      <c r="D904">
        <v>6</v>
      </c>
      <c r="E904" t="s">
        <v>93</v>
      </c>
      <c r="F904">
        <v>1</v>
      </c>
      <c r="G904" t="s">
        <v>57</v>
      </c>
      <c r="H904" t="s">
        <v>81</v>
      </c>
      <c r="I904" t="s">
        <v>82</v>
      </c>
      <c r="J904" t="s">
        <v>32</v>
      </c>
      <c r="K904">
        <v>116</v>
      </c>
    </row>
    <row r="905" spans="1:11" x14ac:dyDescent="0.25">
      <c r="A905" s="2">
        <v>38534</v>
      </c>
      <c r="B905">
        <v>7</v>
      </c>
      <c r="C905" t="s">
        <v>142</v>
      </c>
      <c r="D905">
        <v>6</v>
      </c>
      <c r="E905" t="s">
        <v>93</v>
      </c>
      <c r="F905">
        <v>1</v>
      </c>
      <c r="G905" t="s">
        <v>57</v>
      </c>
      <c r="H905" t="s">
        <v>83</v>
      </c>
      <c r="I905" t="s">
        <v>59</v>
      </c>
      <c r="J905" t="s">
        <v>32</v>
      </c>
      <c r="K905">
        <v>178</v>
      </c>
    </row>
    <row r="906" spans="1:11" x14ac:dyDescent="0.25">
      <c r="A906" s="2">
        <v>38534</v>
      </c>
      <c r="B906">
        <v>7</v>
      </c>
      <c r="C906" t="s">
        <v>142</v>
      </c>
      <c r="D906">
        <v>6</v>
      </c>
      <c r="E906" t="s">
        <v>93</v>
      </c>
      <c r="F906">
        <v>1</v>
      </c>
      <c r="G906" t="s">
        <v>57</v>
      </c>
      <c r="H906" t="s">
        <v>84</v>
      </c>
      <c r="I906" t="s">
        <v>82</v>
      </c>
      <c r="J906" t="s">
        <v>32</v>
      </c>
      <c r="K906">
        <v>-142</v>
      </c>
    </row>
    <row r="907" spans="1:11" x14ac:dyDescent="0.25">
      <c r="A907" s="2">
        <v>38534</v>
      </c>
      <c r="B907">
        <v>7</v>
      </c>
      <c r="C907" t="s">
        <v>142</v>
      </c>
      <c r="D907">
        <v>6</v>
      </c>
      <c r="E907" t="s">
        <v>93</v>
      </c>
      <c r="F907">
        <v>1</v>
      </c>
      <c r="G907" t="s">
        <v>57</v>
      </c>
      <c r="H907" t="s">
        <v>85</v>
      </c>
      <c r="I907" t="s">
        <v>82</v>
      </c>
      <c r="J907" t="s">
        <v>32</v>
      </c>
      <c r="K907">
        <v>238</v>
      </c>
    </row>
    <row r="908" spans="1:11" x14ac:dyDescent="0.25">
      <c r="A908" s="2">
        <v>38534</v>
      </c>
      <c r="B908">
        <v>7</v>
      </c>
      <c r="C908" t="s">
        <v>142</v>
      </c>
      <c r="D908">
        <v>6</v>
      </c>
      <c r="E908" t="s">
        <v>93</v>
      </c>
      <c r="F908">
        <v>1</v>
      </c>
      <c r="G908" t="s">
        <v>57</v>
      </c>
      <c r="H908" t="s">
        <v>86</v>
      </c>
      <c r="I908" t="s">
        <v>59</v>
      </c>
      <c r="J908" t="s">
        <v>32</v>
      </c>
      <c r="K908">
        <v>6349</v>
      </c>
    </row>
    <row r="909" spans="1:11" x14ac:dyDescent="0.25">
      <c r="A909" s="2">
        <v>38534</v>
      </c>
      <c r="B909">
        <v>7</v>
      </c>
      <c r="C909" t="s">
        <v>142</v>
      </c>
      <c r="D909">
        <v>6</v>
      </c>
      <c r="E909" t="s">
        <v>93</v>
      </c>
      <c r="F909">
        <v>1</v>
      </c>
      <c r="G909" t="s">
        <v>57</v>
      </c>
      <c r="H909" t="s">
        <v>87</v>
      </c>
      <c r="I909" t="s">
        <v>88</v>
      </c>
      <c r="J909" t="s">
        <v>89</v>
      </c>
      <c r="K909">
        <v>7</v>
      </c>
    </row>
    <row r="910" spans="1:11" x14ac:dyDescent="0.25">
      <c r="A910" s="2">
        <v>38534</v>
      </c>
      <c r="B910">
        <v>7</v>
      </c>
      <c r="C910" t="s">
        <v>142</v>
      </c>
      <c r="D910">
        <v>6</v>
      </c>
      <c r="E910" t="s">
        <v>93</v>
      </c>
      <c r="F910">
        <v>1</v>
      </c>
      <c r="G910" t="s">
        <v>57</v>
      </c>
      <c r="H910" t="s">
        <v>89</v>
      </c>
      <c r="I910" t="s">
        <v>100</v>
      </c>
      <c r="J910" t="s">
        <v>89</v>
      </c>
      <c r="K910">
        <v>171</v>
      </c>
    </row>
    <row r="911" spans="1:11" x14ac:dyDescent="0.25">
      <c r="A911" s="2">
        <v>38534</v>
      </c>
      <c r="B911">
        <v>7</v>
      </c>
      <c r="C911" t="s">
        <v>142</v>
      </c>
      <c r="D911">
        <v>6</v>
      </c>
      <c r="E911" t="s">
        <v>93</v>
      </c>
      <c r="F911">
        <v>1</v>
      </c>
      <c r="G911" t="s">
        <v>57</v>
      </c>
      <c r="H911" t="s">
        <v>101</v>
      </c>
      <c r="I911" t="s">
        <v>88</v>
      </c>
      <c r="J911" t="s">
        <v>89</v>
      </c>
      <c r="K911">
        <v>29500</v>
      </c>
    </row>
    <row r="912" spans="1:11" x14ac:dyDescent="0.25">
      <c r="A912" s="2">
        <v>38534</v>
      </c>
      <c r="B912">
        <v>7</v>
      </c>
      <c r="C912" t="s">
        <v>142</v>
      </c>
      <c r="D912">
        <v>6</v>
      </c>
      <c r="E912" t="s">
        <v>93</v>
      </c>
      <c r="F912">
        <v>2</v>
      </c>
      <c r="G912" t="s">
        <v>60</v>
      </c>
      <c r="H912" t="s">
        <v>102</v>
      </c>
      <c r="I912" t="s">
        <v>82</v>
      </c>
      <c r="J912" t="s">
        <v>32</v>
      </c>
      <c r="K912">
        <v>70400</v>
      </c>
    </row>
    <row r="913" spans="1:11" x14ac:dyDescent="0.25">
      <c r="A913" s="2">
        <v>38534</v>
      </c>
      <c r="B913">
        <v>7</v>
      </c>
      <c r="C913" t="s">
        <v>142</v>
      </c>
      <c r="D913">
        <v>6</v>
      </c>
      <c r="E913" t="s">
        <v>93</v>
      </c>
      <c r="F913">
        <v>1</v>
      </c>
      <c r="G913" t="s">
        <v>57</v>
      </c>
      <c r="H913" t="s">
        <v>102</v>
      </c>
      <c r="I913" t="s">
        <v>82</v>
      </c>
      <c r="J913" t="s">
        <v>32</v>
      </c>
      <c r="K913">
        <v>78234</v>
      </c>
    </row>
    <row r="914" spans="1:11" x14ac:dyDescent="0.25">
      <c r="A914" s="2">
        <v>38534</v>
      </c>
      <c r="B914">
        <v>7</v>
      </c>
      <c r="C914" t="s">
        <v>142</v>
      </c>
      <c r="D914">
        <v>7</v>
      </c>
      <c r="E914" t="s">
        <v>103</v>
      </c>
      <c r="F914">
        <v>1</v>
      </c>
      <c r="G914" t="s">
        <v>57</v>
      </c>
      <c r="H914" t="s">
        <v>104</v>
      </c>
      <c r="I914" t="s">
        <v>92</v>
      </c>
      <c r="J914" t="s">
        <v>32</v>
      </c>
      <c r="K914">
        <v>92875</v>
      </c>
    </row>
    <row r="915" spans="1:11" x14ac:dyDescent="0.25">
      <c r="A915" s="2">
        <v>38534</v>
      </c>
      <c r="B915">
        <v>7</v>
      </c>
      <c r="C915" t="s">
        <v>142</v>
      </c>
      <c r="D915">
        <v>7</v>
      </c>
      <c r="E915" t="s">
        <v>103</v>
      </c>
      <c r="F915">
        <v>1</v>
      </c>
      <c r="G915" t="s">
        <v>57</v>
      </c>
      <c r="H915" t="s">
        <v>105</v>
      </c>
      <c r="I915" t="s">
        <v>92</v>
      </c>
      <c r="J915" t="s">
        <v>32</v>
      </c>
      <c r="K915">
        <v>130923</v>
      </c>
    </row>
    <row r="916" spans="1:11" x14ac:dyDescent="0.25">
      <c r="A916" s="2">
        <v>38534</v>
      </c>
      <c r="B916">
        <v>7</v>
      </c>
      <c r="C916" t="s">
        <v>142</v>
      </c>
      <c r="D916">
        <v>7</v>
      </c>
      <c r="E916" t="s">
        <v>103</v>
      </c>
      <c r="F916">
        <v>1</v>
      </c>
      <c r="G916" t="s">
        <v>57</v>
      </c>
      <c r="H916" t="s">
        <v>106</v>
      </c>
      <c r="I916" t="s">
        <v>92</v>
      </c>
      <c r="J916" t="s">
        <v>32</v>
      </c>
      <c r="K916">
        <v>4029</v>
      </c>
    </row>
    <row r="917" spans="1:11" x14ac:dyDescent="0.25">
      <c r="A917" s="2">
        <v>38534</v>
      </c>
      <c r="B917">
        <v>7</v>
      </c>
      <c r="C917" t="s">
        <v>142</v>
      </c>
      <c r="D917">
        <v>7</v>
      </c>
      <c r="E917" t="s">
        <v>103</v>
      </c>
      <c r="F917">
        <v>1</v>
      </c>
      <c r="G917" t="s">
        <v>57</v>
      </c>
      <c r="H917" t="s">
        <v>107</v>
      </c>
      <c r="I917" t="s">
        <v>92</v>
      </c>
      <c r="J917" t="s">
        <v>32</v>
      </c>
      <c r="K917">
        <v>2618</v>
      </c>
    </row>
    <row r="918" spans="1:11" x14ac:dyDescent="0.25">
      <c r="A918" s="2">
        <v>38534</v>
      </c>
      <c r="B918">
        <v>7</v>
      </c>
      <c r="C918" t="s">
        <v>142</v>
      </c>
      <c r="D918">
        <v>7</v>
      </c>
      <c r="E918" t="s">
        <v>103</v>
      </c>
      <c r="F918">
        <v>1</v>
      </c>
      <c r="G918" t="s">
        <v>57</v>
      </c>
      <c r="H918" t="s">
        <v>108</v>
      </c>
      <c r="I918" t="s">
        <v>92</v>
      </c>
      <c r="J918" t="s">
        <v>32</v>
      </c>
      <c r="K918">
        <v>20031</v>
      </c>
    </row>
    <row r="919" spans="1:11" x14ac:dyDescent="0.25">
      <c r="A919" s="2">
        <v>38534</v>
      </c>
      <c r="B919">
        <v>7</v>
      </c>
      <c r="C919" t="s">
        <v>142</v>
      </c>
      <c r="D919">
        <v>7</v>
      </c>
      <c r="E919" t="s">
        <v>103</v>
      </c>
      <c r="F919">
        <v>1</v>
      </c>
      <c r="G919" t="s">
        <v>57</v>
      </c>
      <c r="H919" t="s">
        <v>109</v>
      </c>
      <c r="I919" t="s">
        <v>92</v>
      </c>
      <c r="J919" t="s">
        <v>32</v>
      </c>
      <c r="K919">
        <v>13877</v>
      </c>
    </row>
    <row r="920" spans="1:11" x14ac:dyDescent="0.25">
      <c r="A920" s="2">
        <v>38534</v>
      </c>
      <c r="B920">
        <v>7</v>
      </c>
      <c r="C920" t="s">
        <v>142</v>
      </c>
      <c r="D920">
        <v>7</v>
      </c>
      <c r="E920" t="s">
        <v>103</v>
      </c>
      <c r="F920">
        <v>1</v>
      </c>
      <c r="G920" t="s">
        <v>57</v>
      </c>
      <c r="H920" t="s">
        <v>110</v>
      </c>
      <c r="I920" t="s">
        <v>92</v>
      </c>
      <c r="J920" t="s">
        <v>32</v>
      </c>
      <c r="K920">
        <v>26970</v>
      </c>
    </row>
    <row r="921" spans="1:11" x14ac:dyDescent="0.25">
      <c r="A921" s="2">
        <v>38534</v>
      </c>
      <c r="B921">
        <v>7</v>
      </c>
      <c r="C921" t="s">
        <v>142</v>
      </c>
      <c r="D921">
        <v>7</v>
      </c>
      <c r="E921" t="s">
        <v>103</v>
      </c>
      <c r="F921">
        <v>1</v>
      </c>
      <c r="G921" t="s">
        <v>57</v>
      </c>
      <c r="H921" t="s">
        <v>111</v>
      </c>
      <c r="I921" t="s">
        <v>92</v>
      </c>
      <c r="J921" t="s">
        <v>32</v>
      </c>
      <c r="K921">
        <v>9604</v>
      </c>
    </row>
    <row r="922" spans="1:11" x14ac:dyDescent="0.25">
      <c r="A922" s="2">
        <v>38534</v>
      </c>
      <c r="B922">
        <v>7</v>
      </c>
      <c r="C922" t="s">
        <v>142</v>
      </c>
      <c r="D922">
        <v>7</v>
      </c>
      <c r="E922" t="s">
        <v>103</v>
      </c>
      <c r="F922">
        <v>1</v>
      </c>
      <c r="G922" t="s">
        <v>57</v>
      </c>
      <c r="H922" t="s">
        <v>112</v>
      </c>
      <c r="I922" t="s">
        <v>92</v>
      </c>
      <c r="J922" t="s">
        <v>32</v>
      </c>
      <c r="K922">
        <v>30604</v>
      </c>
    </row>
    <row r="923" spans="1:11" x14ac:dyDescent="0.25">
      <c r="A923" s="2">
        <v>38534</v>
      </c>
      <c r="B923">
        <v>7</v>
      </c>
      <c r="C923" t="s">
        <v>142</v>
      </c>
      <c r="D923">
        <v>7</v>
      </c>
      <c r="E923" t="s">
        <v>103</v>
      </c>
      <c r="F923">
        <v>1</v>
      </c>
      <c r="G923" t="s">
        <v>57</v>
      </c>
      <c r="H923" t="s">
        <v>113</v>
      </c>
      <c r="I923" t="s">
        <v>92</v>
      </c>
      <c r="J923" t="s">
        <v>32</v>
      </c>
      <c r="K923">
        <v>9604</v>
      </c>
    </row>
    <row r="924" spans="1:11" x14ac:dyDescent="0.25">
      <c r="A924" s="2">
        <v>38534</v>
      </c>
      <c r="B924">
        <v>7</v>
      </c>
      <c r="C924" t="s">
        <v>142</v>
      </c>
      <c r="D924">
        <v>7</v>
      </c>
      <c r="E924" t="s">
        <v>103</v>
      </c>
      <c r="F924">
        <v>1</v>
      </c>
      <c r="G924" t="s">
        <v>57</v>
      </c>
      <c r="H924" t="s">
        <v>114</v>
      </c>
      <c r="I924" t="s">
        <v>92</v>
      </c>
      <c r="J924" t="s">
        <v>32</v>
      </c>
      <c r="K924">
        <v>45032</v>
      </c>
    </row>
    <row r="925" spans="1:11" x14ac:dyDescent="0.25">
      <c r="A925" s="2">
        <v>38534</v>
      </c>
      <c r="B925">
        <v>7</v>
      </c>
      <c r="C925" t="s">
        <v>142</v>
      </c>
      <c r="D925">
        <v>7</v>
      </c>
      <c r="E925" t="s">
        <v>103</v>
      </c>
      <c r="F925">
        <v>1</v>
      </c>
      <c r="G925" t="s">
        <v>57</v>
      </c>
      <c r="H925" t="s">
        <v>115</v>
      </c>
      <c r="I925" t="s">
        <v>92</v>
      </c>
      <c r="J925" t="s">
        <v>32</v>
      </c>
      <c r="K925">
        <v>8156</v>
      </c>
    </row>
    <row r="926" spans="1:11" x14ac:dyDescent="0.25">
      <c r="A926" s="2">
        <v>38534</v>
      </c>
      <c r="B926">
        <v>7</v>
      </c>
      <c r="C926" t="s">
        <v>142</v>
      </c>
      <c r="D926">
        <v>7</v>
      </c>
      <c r="E926" t="s">
        <v>103</v>
      </c>
      <c r="F926">
        <v>1</v>
      </c>
      <c r="G926" t="s">
        <v>57</v>
      </c>
      <c r="H926" t="s">
        <v>116</v>
      </c>
      <c r="I926" t="s">
        <v>92</v>
      </c>
      <c r="J926" t="s">
        <v>32</v>
      </c>
      <c r="K926">
        <v>3367</v>
      </c>
    </row>
    <row r="927" spans="1:11" x14ac:dyDescent="0.25">
      <c r="A927" s="2">
        <v>38534</v>
      </c>
      <c r="B927">
        <v>7</v>
      </c>
      <c r="C927" t="s">
        <v>142</v>
      </c>
      <c r="D927">
        <v>7</v>
      </c>
      <c r="E927" t="s">
        <v>103</v>
      </c>
      <c r="F927">
        <v>1</v>
      </c>
      <c r="G927" t="s">
        <v>57</v>
      </c>
      <c r="H927" t="s">
        <v>78</v>
      </c>
      <c r="I927" t="s">
        <v>92</v>
      </c>
      <c r="J927" t="s">
        <v>32</v>
      </c>
      <c r="K927">
        <v>19165</v>
      </c>
    </row>
    <row r="928" spans="1:11" x14ac:dyDescent="0.25">
      <c r="A928" s="2">
        <v>38534</v>
      </c>
      <c r="B928">
        <v>7</v>
      </c>
      <c r="C928" t="s">
        <v>142</v>
      </c>
      <c r="D928">
        <v>7</v>
      </c>
      <c r="E928" t="s">
        <v>103</v>
      </c>
      <c r="F928">
        <v>1</v>
      </c>
      <c r="G928" t="s">
        <v>57</v>
      </c>
      <c r="H928" t="s">
        <v>117</v>
      </c>
      <c r="I928" t="s">
        <v>118</v>
      </c>
      <c r="J928" t="s">
        <v>32</v>
      </c>
      <c r="K928">
        <v>14934</v>
      </c>
    </row>
    <row r="929" spans="1:11" x14ac:dyDescent="0.25">
      <c r="A929" s="2">
        <v>38534</v>
      </c>
      <c r="B929">
        <v>7</v>
      </c>
      <c r="C929" t="s">
        <v>142</v>
      </c>
      <c r="D929">
        <v>7</v>
      </c>
      <c r="E929" t="s">
        <v>103</v>
      </c>
      <c r="F929">
        <v>1</v>
      </c>
      <c r="G929" t="s">
        <v>57</v>
      </c>
      <c r="H929" t="s">
        <v>119</v>
      </c>
      <c r="I929" t="s">
        <v>118</v>
      </c>
      <c r="J929" t="s">
        <v>32</v>
      </c>
      <c r="K929">
        <v>124092</v>
      </c>
    </row>
    <row r="930" spans="1:11" x14ac:dyDescent="0.25">
      <c r="A930" s="2">
        <v>38534</v>
      </c>
      <c r="B930">
        <v>7</v>
      </c>
      <c r="C930" t="s">
        <v>142</v>
      </c>
      <c r="D930">
        <v>7</v>
      </c>
      <c r="E930" t="s">
        <v>103</v>
      </c>
      <c r="F930">
        <v>1</v>
      </c>
      <c r="G930" t="s">
        <v>57</v>
      </c>
      <c r="H930" t="s">
        <v>120</v>
      </c>
      <c r="I930" t="s">
        <v>118</v>
      </c>
      <c r="J930" t="s">
        <v>32</v>
      </c>
      <c r="K930">
        <v>36755</v>
      </c>
    </row>
    <row r="931" spans="1:11" x14ac:dyDescent="0.25">
      <c r="A931" s="2">
        <v>38534</v>
      </c>
      <c r="B931">
        <v>7</v>
      </c>
      <c r="C931" t="s">
        <v>142</v>
      </c>
      <c r="D931">
        <v>7</v>
      </c>
      <c r="E931" t="s">
        <v>103</v>
      </c>
      <c r="F931">
        <v>1</v>
      </c>
      <c r="G931" t="s">
        <v>57</v>
      </c>
      <c r="H931" t="s">
        <v>121</v>
      </c>
      <c r="I931" t="s">
        <v>118</v>
      </c>
      <c r="J931" t="s">
        <v>32</v>
      </c>
      <c r="K931">
        <v>24240</v>
      </c>
    </row>
    <row r="932" spans="1:11" x14ac:dyDescent="0.25">
      <c r="A932" s="2">
        <v>38534</v>
      </c>
      <c r="B932">
        <v>7</v>
      </c>
      <c r="C932" t="s">
        <v>142</v>
      </c>
      <c r="D932">
        <v>7</v>
      </c>
      <c r="E932" t="s">
        <v>103</v>
      </c>
      <c r="F932">
        <v>1</v>
      </c>
      <c r="G932" t="s">
        <v>57</v>
      </c>
      <c r="H932" t="s">
        <v>122</v>
      </c>
      <c r="I932" t="s">
        <v>118</v>
      </c>
      <c r="J932" t="s">
        <v>32</v>
      </c>
      <c r="K932">
        <v>20512</v>
      </c>
    </row>
    <row r="933" spans="1:11" x14ac:dyDescent="0.25">
      <c r="A933" s="2">
        <v>38534</v>
      </c>
      <c r="B933">
        <v>7</v>
      </c>
      <c r="C933" t="s">
        <v>142</v>
      </c>
      <c r="D933">
        <v>7</v>
      </c>
      <c r="E933" t="s">
        <v>103</v>
      </c>
      <c r="F933">
        <v>1</v>
      </c>
      <c r="G933" t="s">
        <v>57</v>
      </c>
      <c r="H933" t="s">
        <v>123</v>
      </c>
      <c r="I933" t="s">
        <v>118</v>
      </c>
      <c r="J933" t="s">
        <v>32</v>
      </c>
      <c r="K933">
        <v>9897</v>
      </c>
    </row>
    <row r="934" spans="1:11" x14ac:dyDescent="0.25">
      <c r="A934" s="2">
        <v>38534</v>
      </c>
      <c r="B934">
        <v>7</v>
      </c>
      <c r="C934" t="s">
        <v>142</v>
      </c>
      <c r="D934">
        <v>7</v>
      </c>
      <c r="E934" t="s">
        <v>103</v>
      </c>
      <c r="F934">
        <v>1</v>
      </c>
      <c r="G934" t="s">
        <v>57</v>
      </c>
      <c r="H934" t="s">
        <v>124</v>
      </c>
      <c r="I934" t="s">
        <v>118</v>
      </c>
      <c r="J934" t="s">
        <v>32</v>
      </c>
      <c r="K934">
        <v>26049</v>
      </c>
    </row>
    <row r="935" spans="1:11" x14ac:dyDescent="0.25">
      <c r="A935" s="2">
        <v>38534</v>
      </c>
      <c r="B935">
        <v>7</v>
      </c>
      <c r="C935" t="s">
        <v>142</v>
      </c>
      <c r="D935">
        <v>7</v>
      </c>
      <c r="E935" t="s">
        <v>103</v>
      </c>
      <c r="F935">
        <v>1</v>
      </c>
      <c r="G935" t="s">
        <v>57</v>
      </c>
      <c r="H935" t="s">
        <v>125</v>
      </c>
      <c r="I935" t="s">
        <v>118</v>
      </c>
      <c r="J935" t="s">
        <v>32</v>
      </c>
      <c r="K935">
        <v>25665</v>
      </c>
    </row>
    <row r="936" spans="1:11" x14ac:dyDescent="0.25">
      <c r="A936" s="2">
        <v>38534</v>
      </c>
      <c r="B936">
        <v>7</v>
      </c>
      <c r="C936" t="s">
        <v>142</v>
      </c>
      <c r="D936">
        <v>7</v>
      </c>
      <c r="E936" t="s">
        <v>103</v>
      </c>
      <c r="F936">
        <v>1</v>
      </c>
      <c r="G936" t="s">
        <v>57</v>
      </c>
      <c r="H936" t="s">
        <v>126</v>
      </c>
      <c r="I936" t="s">
        <v>118</v>
      </c>
      <c r="J936" t="s">
        <v>32</v>
      </c>
      <c r="K936">
        <v>25964</v>
      </c>
    </row>
    <row r="937" spans="1:11" x14ac:dyDescent="0.25">
      <c r="A937" s="2">
        <v>38534</v>
      </c>
      <c r="B937">
        <v>7</v>
      </c>
      <c r="C937" t="s">
        <v>142</v>
      </c>
      <c r="D937">
        <v>7</v>
      </c>
      <c r="E937" t="s">
        <v>103</v>
      </c>
      <c r="F937">
        <v>1</v>
      </c>
      <c r="G937" t="s">
        <v>57</v>
      </c>
      <c r="H937" t="s">
        <v>127</v>
      </c>
      <c r="I937" t="s">
        <v>118</v>
      </c>
      <c r="J937" t="s">
        <v>32</v>
      </c>
      <c r="K937">
        <v>37554</v>
      </c>
    </row>
    <row r="938" spans="1:11" x14ac:dyDescent="0.25">
      <c r="A938" s="2">
        <v>38534</v>
      </c>
      <c r="B938">
        <v>7</v>
      </c>
      <c r="C938" t="s">
        <v>142</v>
      </c>
      <c r="D938">
        <v>7</v>
      </c>
      <c r="E938" t="s">
        <v>103</v>
      </c>
      <c r="F938">
        <v>1</v>
      </c>
      <c r="G938" t="s">
        <v>57</v>
      </c>
      <c r="H938" t="s">
        <v>128</v>
      </c>
      <c r="I938" t="s">
        <v>118</v>
      </c>
      <c r="J938" t="s">
        <v>32</v>
      </c>
      <c r="K938">
        <v>21794</v>
      </c>
    </row>
    <row r="939" spans="1:11" x14ac:dyDescent="0.25">
      <c r="A939" s="2">
        <v>38534</v>
      </c>
      <c r="B939">
        <v>7</v>
      </c>
      <c r="C939" t="s">
        <v>142</v>
      </c>
      <c r="D939">
        <v>7</v>
      </c>
      <c r="E939" t="s">
        <v>103</v>
      </c>
      <c r="F939">
        <v>1</v>
      </c>
      <c r="G939" t="s">
        <v>57</v>
      </c>
      <c r="H939" t="s">
        <v>129</v>
      </c>
      <c r="I939" t="s">
        <v>118</v>
      </c>
      <c r="J939" t="s">
        <v>32</v>
      </c>
      <c r="K939">
        <v>350000</v>
      </c>
    </row>
    <row r="940" spans="1:11" x14ac:dyDescent="0.25">
      <c r="A940" s="2">
        <v>38534</v>
      </c>
      <c r="B940">
        <v>7</v>
      </c>
      <c r="C940" t="s">
        <v>142</v>
      </c>
      <c r="D940">
        <v>7</v>
      </c>
      <c r="E940" t="s">
        <v>103</v>
      </c>
      <c r="F940">
        <v>1</v>
      </c>
      <c r="G940" t="s">
        <v>57</v>
      </c>
      <c r="H940" t="s">
        <v>130</v>
      </c>
      <c r="I940" t="s">
        <v>118</v>
      </c>
      <c r="J940" t="s">
        <v>32</v>
      </c>
      <c r="K940">
        <v>-713280</v>
      </c>
    </row>
    <row r="941" spans="1:11" x14ac:dyDescent="0.25">
      <c r="A941" s="2">
        <v>38534</v>
      </c>
      <c r="B941">
        <v>7</v>
      </c>
      <c r="C941" t="s">
        <v>142</v>
      </c>
      <c r="D941">
        <v>7</v>
      </c>
      <c r="E941" t="s">
        <v>103</v>
      </c>
      <c r="F941">
        <v>1</v>
      </c>
      <c r="G941" t="s">
        <v>57</v>
      </c>
      <c r="H941" t="s">
        <v>131</v>
      </c>
      <c r="I941" t="s">
        <v>118</v>
      </c>
      <c r="J941" t="s">
        <v>32</v>
      </c>
      <c r="K941">
        <v>477620</v>
      </c>
    </row>
    <row r="942" spans="1:11" x14ac:dyDescent="0.25">
      <c r="A942" s="2">
        <v>38534</v>
      </c>
      <c r="B942">
        <v>7</v>
      </c>
      <c r="C942" t="s">
        <v>142</v>
      </c>
      <c r="D942">
        <v>7</v>
      </c>
      <c r="E942" t="s">
        <v>103</v>
      </c>
      <c r="F942">
        <v>1</v>
      </c>
      <c r="G942" t="s">
        <v>57</v>
      </c>
      <c r="H942" t="s">
        <v>132</v>
      </c>
      <c r="I942" t="s">
        <v>118</v>
      </c>
      <c r="J942" t="s">
        <v>32</v>
      </c>
      <c r="K942">
        <v>-52842</v>
      </c>
    </row>
    <row r="943" spans="1:11" x14ac:dyDescent="0.25">
      <c r="A943" s="2">
        <v>38534</v>
      </c>
      <c r="B943">
        <v>7</v>
      </c>
      <c r="C943" t="s">
        <v>142</v>
      </c>
      <c r="D943">
        <v>7</v>
      </c>
      <c r="E943" t="s">
        <v>103</v>
      </c>
      <c r="F943">
        <v>1</v>
      </c>
      <c r="G943" t="s">
        <v>57</v>
      </c>
      <c r="H943" t="s">
        <v>133</v>
      </c>
      <c r="I943" t="s">
        <v>118</v>
      </c>
      <c r="J943" t="s">
        <v>32</v>
      </c>
      <c r="K943">
        <v>15543</v>
      </c>
    </row>
    <row r="944" spans="1:11" x14ac:dyDescent="0.25">
      <c r="A944" s="2">
        <v>38534</v>
      </c>
      <c r="B944">
        <v>8</v>
      </c>
      <c r="C944" t="s">
        <v>143</v>
      </c>
      <c r="D944">
        <v>1</v>
      </c>
      <c r="E944" t="s">
        <v>56</v>
      </c>
      <c r="F944">
        <v>1</v>
      </c>
      <c r="G944" t="s">
        <v>57</v>
      </c>
      <c r="H944" t="s">
        <v>58</v>
      </c>
      <c r="I944" t="s">
        <v>59</v>
      </c>
      <c r="J944" t="s">
        <v>32</v>
      </c>
      <c r="K944">
        <v>48000.46</v>
      </c>
    </row>
    <row r="945" spans="1:11" x14ac:dyDescent="0.25">
      <c r="A945" s="2">
        <v>38534</v>
      </c>
      <c r="B945">
        <v>8</v>
      </c>
      <c r="C945" t="s">
        <v>143</v>
      </c>
      <c r="D945">
        <v>1</v>
      </c>
      <c r="E945" t="s">
        <v>56</v>
      </c>
      <c r="F945">
        <v>2</v>
      </c>
      <c r="G945" t="s">
        <v>60</v>
      </c>
      <c r="H945" t="s">
        <v>58</v>
      </c>
      <c r="I945" t="s">
        <v>59</v>
      </c>
      <c r="J945" t="s">
        <v>32</v>
      </c>
      <c r="K945">
        <v>29400</v>
      </c>
    </row>
    <row r="946" spans="1:11" x14ac:dyDescent="0.25">
      <c r="A946" s="2">
        <v>38534</v>
      </c>
      <c r="B946">
        <v>8</v>
      </c>
      <c r="C946" t="s">
        <v>143</v>
      </c>
      <c r="D946">
        <v>1</v>
      </c>
      <c r="E946" t="s">
        <v>56</v>
      </c>
      <c r="F946">
        <v>2</v>
      </c>
      <c r="G946" t="s">
        <v>60</v>
      </c>
      <c r="H946" t="s">
        <v>61</v>
      </c>
      <c r="I946" t="s">
        <v>59</v>
      </c>
      <c r="J946" t="s">
        <v>32</v>
      </c>
      <c r="K946">
        <v>3000</v>
      </c>
    </row>
    <row r="947" spans="1:11" x14ac:dyDescent="0.25">
      <c r="A947" s="2">
        <v>38534</v>
      </c>
      <c r="B947">
        <v>8</v>
      </c>
      <c r="C947" t="s">
        <v>143</v>
      </c>
      <c r="D947">
        <v>1</v>
      </c>
      <c r="E947" t="s">
        <v>56</v>
      </c>
      <c r="F947">
        <v>1</v>
      </c>
      <c r="G947" t="s">
        <v>57</v>
      </c>
      <c r="H947" t="s">
        <v>61</v>
      </c>
      <c r="I947" t="s">
        <v>59</v>
      </c>
      <c r="J947" t="s">
        <v>32</v>
      </c>
      <c r="K947">
        <v>4801.17</v>
      </c>
    </row>
    <row r="948" spans="1:11" x14ac:dyDescent="0.25">
      <c r="A948" s="2">
        <v>38534</v>
      </c>
      <c r="B948">
        <v>8</v>
      </c>
      <c r="C948" t="s">
        <v>143</v>
      </c>
      <c r="D948">
        <v>1</v>
      </c>
      <c r="E948" t="s">
        <v>56</v>
      </c>
      <c r="F948">
        <v>1</v>
      </c>
      <c r="G948" t="s">
        <v>57</v>
      </c>
      <c r="H948" t="s">
        <v>62</v>
      </c>
      <c r="I948" t="s">
        <v>59</v>
      </c>
      <c r="J948" t="s">
        <v>32</v>
      </c>
      <c r="K948">
        <v>3840.55</v>
      </c>
    </row>
    <row r="949" spans="1:11" x14ac:dyDescent="0.25">
      <c r="A949" s="2">
        <v>38534</v>
      </c>
      <c r="B949">
        <v>8</v>
      </c>
      <c r="C949" t="s">
        <v>143</v>
      </c>
      <c r="D949">
        <v>1</v>
      </c>
      <c r="E949" t="s">
        <v>56</v>
      </c>
      <c r="F949">
        <v>2</v>
      </c>
      <c r="G949" t="s">
        <v>60</v>
      </c>
      <c r="H949" t="s">
        <v>62</v>
      </c>
      <c r="I949" t="s">
        <v>59</v>
      </c>
      <c r="J949" t="s">
        <v>32</v>
      </c>
      <c r="K949">
        <v>2000</v>
      </c>
    </row>
    <row r="950" spans="1:11" x14ac:dyDescent="0.25">
      <c r="A950" s="2">
        <v>38534</v>
      </c>
      <c r="B950">
        <v>8</v>
      </c>
      <c r="C950" t="s">
        <v>143</v>
      </c>
      <c r="D950">
        <v>1</v>
      </c>
      <c r="E950" t="s">
        <v>56</v>
      </c>
      <c r="F950">
        <v>2</v>
      </c>
      <c r="G950" t="s">
        <v>60</v>
      </c>
      <c r="H950" t="s">
        <v>63</v>
      </c>
      <c r="I950" t="s">
        <v>59</v>
      </c>
      <c r="J950" t="s">
        <v>32</v>
      </c>
      <c r="K950">
        <v>480</v>
      </c>
    </row>
    <row r="951" spans="1:11" x14ac:dyDescent="0.25">
      <c r="A951" s="2">
        <v>38534</v>
      </c>
      <c r="B951">
        <v>8</v>
      </c>
      <c r="C951" t="s">
        <v>143</v>
      </c>
      <c r="D951">
        <v>1</v>
      </c>
      <c r="E951" t="s">
        <v>56</v>
      </c>
      <c r="F951">
        <v>1</v>
      </c>
      <c r="G951" t="s">
        <v>57</v>
      </c>
      <c r="H951" t="s">
        <v>63</v>
      </c>
      <c r="I951" t="s">
        <v>59</v>
      </c>
      <c r="J951" t="s">
        <v>32</v>
      </c>
      <c r="K951">
        <v>861.7</v>
      </c>
    </row>
    <row r="952" spans="1:11" x14ac:dyDescent="0.25">
      <c r="A952" s="2">
        <v>38534</v>
      </c>
      <c r="B952">
        <v>8</v>
      </c>
      <c r="C952" t="s">
        <v>143</v>
      </c>
      <c r="D952">
        <v>1</v>
      </c>
      <c r="E952" t="s">
        <v>56</v>
      </c>
      <c r="F952">
        <v>1</v>
      </c>
      <c r="G952" t="s">
        <v>57</v>
      </c>
      <c r="H952" t="s">
        <v>64</v>
      </c>
      <c r="I952" t="s">
        <v>59</v>
      </c>
      <c r="J952" t="s">
        <v>32</v>
      </c>
      <c r="K952">
        <v>782.91</v>
      </c>
    </row>
    <row r="953" spans="1:11" x14ac:dyDescent="0.25">
      <c r="A953" s="2">
        <v>38534</v>
      </c>
      <c r="B953">
        <v>8</v>
      </c>
      <c r="C953" t="s">
        <v>143</v>
      </c>
      <c r="D953">
        <v>1</v>
      </c>
      <c r="E953" t="s">
        <v>56</v>
      </c>
      <c r="F953">
        <v>2</v>
      </c>
      <c r="G953" t="s">
        <v>60</v>
      </c>
      <c r="H953" t="s">
        <v>64</v>
      </c>
      <c r="I953" t="s">
        <v>59</v>
      </c>
      <c r="J953" t="s">
        <v>32</v>
      </c>
      <c r="K953">
        <v>380</v>
      </c>
    </row>
    <row r="954" spans="1:11" x14ac:dyDescent="0.25">
      <c r="A954" s="2">
        <v>38534</v>
      </c>
      <c r="B954">
        <v>8</v>
      </c>
      <c r="C954" t="s">
        <v>143</v>
      </c>
      <c r="D954">
        <v>1</v>
      </c>
      <c r="E954" t="s">
        <v>56</v>
      </c>
      <c r="F954">
        <v>2</v>
      </c>
      <c r="G954" t="s">
        <v>60</v>
      </c>
      <c r="H954" t="s">
        <v>65</v>
      </c>
      <c r="I954" t="s">
        <v>59</v>
      </c>
      <c r="J954" t="s">
        <v>32</v>
      </c>
      <c r="K954">
        <v>200</v>
      </c>
    </row>
    <row r="955" spans="1:11" x14ac:dyDescent="0.25">
      <c r="A955" s="2">
        <v>38534</v>
      </c>
      <c r="B955">
        <v>8</v>
      </c>
      <c r="C955" t="s">
        <v>143</v>
      </c>
      <c r="D955">
        <v>1</v>
      </c>
      <c r="E955" t="s">
        <v>56</v>
      </c>
      <c r="F955">
        <v>1</v>
      </c>
      <c r="G955" t="s">
        <v>57</v>
      </c>
      <c r="H955" t="s">
        <v>65</v>
      </c>
      <c r="I955" t="s">
        <v>59</v>
      </c>
      <c r="J955" t="s">
        <v>32</v>
      </c>
      <c r="K955">
        <v>401.09</v>
      </c>
    </row>
    <row r="956" spans="1:11" x14ac:dyDescent="0.25">
      <c r="A956" s="2">
        <v>38534</v>
      </c>
      <c r="B956">
        <v>8</v>
      </c>
      <c r="C956" t="s">
        <v>143</v>
      </c>
      <c r="D956">
        <v>1</v>
      </c>
      <c r="E956" t="s">
        <v>56</v>
      </c>
      <c r="F956">
        <v>1</v>
      </c>
      <c r="G956" t="s">
        <v>57</v>
      </c>
      <c r="H956" t="s">
        <v>66</v>
      </c>
      <c r="I956" t="s">
        <v>59</v>
      </c>
      <c r="J956" t="s">
        <v>32</v>
      </c>
      <c r="K956">
        <v>292</v>
      </c>
    </row>
    <row r="957" spans="1:11" x14ac:dyDescent="0.25">
      <c r="A957" s="2">
        <v>38534</v>
      </c>
      <c r="B957">
        <v>8</v>
      </c>
      <c r="C957" t="s">
        <v>143</v>
      </c>
      <c r="D957">
        <v>1</v>
      </c>
      <c r="E957" t="s">
        <v>56</v>
      </c>
      <c r="F957">
        <v>2</v>
      </c>
      <c r="G957" t="s">
        <v>60</v>
      </c>
      <c r="H957" t="s">
        <v>66</v>
      </c>
      <c r="I957" t="s">
        <v>59</v>
      </c>
      <c r="J957" t="s">
        <v>32</v>
      </c>
      <c r="K957">
        <v>200</v>
      </c>
    </row>
    <row r="958" spans="1:11" x14ac:dyDescent="0.25">
      <c r="A958" s="2">
        <v>38534</v>
      </c>
      <c r="B958">
        <v>8</v>
      </c>
      <c r="C958" t="s">
        <v>143</v>
      </c>
      <c r="D958">
        <v>1</v>
      </c>
      <c r="E958" t="s">
        <v>56</v>
      </c>
      <c r="F958">
        <v>1</v>
      </c>
      <c r="G958" t="s">
        <v>57</v>
      </c>
      <c r="H958" t="s">
        <v>67</v>
      </c>
      <c r="I958" t="s">
        <v>59</v>
      </c>
      <c r="J958" t="s">
        <v>32</v>
      </c>
      <c r="K958">
        <v>87.45</v>
      </c>
    </row>
    <row r="959" spans="1:11" x14ac:dyDescent="0.25">
      <c r="A959" s="2">
        <v>38534</v>
      </c>
      <c r="B959">
        <v>8</v>
      </c>
      <c r="C959" t="s">
        <v>143</v>
      </c>
      <c r="D959">
        <v>1</v>
      </c>
      <c r="E959" t="s">
        <v>56</v>
      </c>
      <c r="F959">
        <v>1</v>
      </c>
      <c r="G959" t="s">
        <v>57</v>
      </c>
      <c r="H959" t="s">
        <v>68</v>
      </c>
      <c r="I959" t="s">
        <v>59</v>
      </c>
      <c r="J959" t="s">
        <v>32</v>
      </c>
      <c r="K959">
        <v>110.17</v>
      </c>
    </row>
    <row r="960" spans="1:11" x14ac:dyDescent="0.25">
      <c r="A960" s="2">
        <v>38534</v>
      </c>
      <c r="B960">
        <v>8</v>
      </c>
      <c r="C960" t="s">
        <v>143</v>
      </c>
      <c r="D960">
        <v>1</v>
      </c>
      <c r="E960" t="s">
        <v>56</v>
      </c>
      <c r="F960">
        <v>2</v>
      </c>
      <c r="G960" t="s">
        <v>60</v>
      </c>
      <c r="H960" t="s">
        <v>68</v>
      </c>
      <c r="I960" t="s">
        <v>59</v>
      </c>
      <c r="J960" t="s">
        <v>32</v>
      </c>
      <c r="K960">
        <v>90</v>
      </c>
    </row>
    <row r="961" spans="1:11" x14ac:dyDescent="0.25">
      <c r="A961" s="2">
        <v>38534</v>
      </c>
      <c r="B961">
        <v>8</v>
      </c>
      <c r="C961" t="s">
        <v>143</v>
      </c>
      <c r="D961">
        <v>1</v>
      </c>
      <c r="E961" t="s">
        <v>56</v>
      </c>
      <c r="F961">
        <v>2</v>
      </c>
      <c r="G961" t="s">
        <v>60</v>
      </c>
      <c r="H961" t="s">
        <v>69</v>
      </c>
      <c r="I961" t="s">
        <v>59</v>
      </c>
      <c r="J961" t="s">
        <v>32</v>
      </c>
      <c r="K961">
        <v>300</v>
      </c>
    </row>
    <row r="962" spans="1:11" x14ac:dyDescent="0.25">
      <c r="A962" s="2">
        <v>38534</v>
      </c>
      <c r="B962">
        <v>8</v>
      </c>
      <c r="C962" t="s">
        <v>143</v>
      </c>
      <c r="D962">
        <v>1</v>
      </c>
      <c r="E962" t="s">
        <v>56</v>
      </c>
      <c r="F962">
        <v>1</v>
      </c>
      <c r="G962" t="s">
        <v>57</v>
      </c>
      <c r="H962" t="s">
        <v>69</v>
      </c>
      <c r="I962" t="s">
        <v>59</v>
      </c>
      <c r="J962" t="s">
        <v>32</v>
      </c>
      <c r="K962">
        <v>535.94000000000005</v>
      </c>
    </row>
    <row r="963" spans="1:11" x14ac:dyDescent="0.25">
      <c r="A963" s="2">
        <v>38534</v>
      </c>
      <c r="B963">
        <v>8</v>
      </c>
      <c r="C963" t="s">
        <v>143</v>
      </c>
      <c r="D963">
        <v>1</v>
      </c>
      <c r="E963" t="s">
        <v>56</v>
      </c>
      <c r="F963">
        <v>1</v>
      </c>
      <c r="G963" t="s">
        <v>57</v>
      </c>
      <c r="H963" t="s">
        <v>70</v>
      </c>
      <c r="I963" t="s">
        <v>59</v>
      </c>
      <c r="J963" t="s">
        <v>32</v>
      </c>
      <c r="K963">
        <v>352.6</v>
      </c>
    </row>
    <row r="964" spans="1:11" x14ac:dyDescent="0.25">
      <c r="A964" s="2">
        <v>38534</v>
      </c>
      <c r="B964">
        <v>8</v>
      </c>
      <c r="C964" t="s">
        <v>143</v>
      </c>
      <c r="D964">
        <v>1</v>
      </c>
      <c r="E964" t="s">
        <v>56</v>
      </c>
      <c r="F964">
        <v>2</v>
      </c>
      <c r="G964" t="s">
        <v>60</v>
      </c>
      <c r="H964" t="s">
        <v>70</v>
      </c>
      <c r="I964" t="s">
        <v>59</v>
      </c>
      <c r="J964" t="s">
        <v>32</v>
      </c>
      <c r="K964">
        <v>200</v>
      </c>
    </row>
    <row r="965" spans="1:11" x14ac:dyDescent="0.25">
      <c r="A965" s="2">
        <v>38534</v>
      </c>
      <c r="B965">
        <v>8</v>
      </c>
      <c r="C965" t="s">
        <v>143</v>
      </c>
      <c r="D965">
        <v>1</v>
      </c>
      <c r="E965" t="s">
        <v>56</v>
      </c>
      <c r="F965">
        <v>2</v>
      </c>
      <c r="G965" t="s">
        <v>60</v>
      </c>
      <c r="H965" t="s">
        <v>71</v>
      </c>
      <c r="I965" t="s">
        <v>59</v>
      </c>
      <c r="J965" t="s">
        <v>32</v>
      </c>
      <c r="K965">
        <v>380</v>
      </c>
    </row>
    <row r="966" spans="1:11" x14ac:dyDescent="0.25">
      <c r="A966" s="2">
        <v>38534</v>
      </c>
      <c r="B966">
        <v>8</v>
      </c>
      <c r="C966" t="s">
        <v>143</v>
      </c>
      <c r="D966">
        <v>1</v>
      </c>
      <c r="E966" t="s">
        <v>56</v>
      </c>
      <c r="F966">
        <v>1</v>
      </c>
      <c r="G966" t="s">
        <v>57</v>
      </c>
      <c r="H966" t="s">
        <v>71</v>
      </c>
      <c r="I966" t="s">
        <v>59</v>
      </c>
      <c r="J966" t="s">
        <v>32</v>
      </c>
      <c r="K966">
        <v>625.34</v>
      </c>
    </row>
    <row r="967" spans="1:11" x14ac:dyDescent="0.25">
      <c r="A967" s="2">
        <v>38534</v>
      </c>
      <c r="B967">
        <v>8</v>
      </c>
      <c r="C967" t="s">
        <v>143</v>
      </c>
      <c r="D967">
        <v>1</v>
      </c>
      <c r="E967" t="s">
        <v>56</v>
      </c>
      <c r="F967">
        <v>1</v>
      </c>
      <c r="G967" t="s">
        <v>57</v>
      </c>
      <c r="H967" t="s">
        <v>72</v>
      </c>
      <c r="I967" t="s">
        <v>59</v>
      </c>
      <c r="J967" t="s">
        <v>32</v>
      </c>
      <c r="K967">
        <v>1123.83</v>
      </c>
    </row>
    <row r="968" spans="1:11" x14ac:dyDescent="0.25">
      <c r="A968" s="2">
        <v>38534</v>
      </c>
      <c r="B968">
        <v>8</v>
      </c>
      <c r="C968" t="s">
        <v>143</v>
      </c>
      <c r="D968">
        <v>1</v>
      </c>
      <c r="E968" t="s">
        <v>56</v>
      </c>
      <c r="F968">
        <v>2</v>
      </c>
      <c r="G968" t="s">
        <v>60</v>
      </c>
      <c r="H968" t="s">
        <v>72</v>
      </c>
      <c r="I968" t="s">
        <v>59</v>
      </c>
      <c r="J968" t="s">
        <v>32</v>
      </c>
      <c r="K968">
        <v>650</v>
      </c>
    </row>
    <row r="969" spans="1:11" x14ac:dyDescent="0.25">
      <c r="A969" s="2">
        <v>38534</v>
      </c>
      <c r="B969">
        <v>8</v>
      </c>
      <c r="C969" t="s">
        <v>143</v>
      </c>
      <c r="D969">
        <v>1</v>
      </c>
      <c r="E969" t="s">
        <v>56</v>
      </c>
      <c r="F969">
        <v>2</v>
      </c>
      <c r="G969" t="s">
        <v>60</v>
      </c>
      <c r="H969" t="s">
        <v>73</v>
      </c>
      <c r="I969" t="s">
        <v>59</v>
      </c>
      <c r="J969" t="s">
        <v>32</v>
      </c>
      <c r="K969">
        <v>200</v>
      </c>
    </row>
    <row r="970" spans="1:11" x14ac:dyDescent="0.25">
      <c r="A970" s="2">
        <v>38534</v>
      </c>
      <c r="B970">
        <v>8</v>
      </c>
      <c r="C970" t="s">
        <v>143</v>
      </c>
      <c r="D970">
        <v>1</v>
      </c>
      <c r="E970" t="s">
        <v>56</v>
      </c>
      <c r="F970">
        <v>1</v>
      </c>
      <c r="G970" t="s">
        <v>57</v>
      </c>
      <c r="H970" t="s">
        <v>73</v>
      </c>
      <c r="I970" t="s">
        <v>59</v>
      </c>
      <c r="J970" t="s">
        <v>32</v>
      </c>
      <c r="K970">
        <v>325.33</v>
      </c>
    </row>
    <row r="971" spans="1:11" x14ac:dyDescent="0.25">
      <c r="A971" s="2">
        <v>38534</v>
      </c>
      <c r="B971">
        <v>8</v>
      </c>
      <c r="C971" t="s">
        <v>143</v>
      </c>
      <c r="D971">
        <v>1</v>
      </c>
      <c r="E971" t="s">
        <v>56</v>
      </c>
      <c r="F971">
        <v>1</v>
      </c>
      <c r="G971" t="s">
        <v>57</v>
      </c>
      <c r="H971" t="s">
        <v>74</v>
      </c>
      <c r="I971" t="s">
        <v>59</v>
      </c>
      <c r="J971" t="s">
        <v>32</v>
      </c>
      <c r="K971">
        <v>1260.2</v>
      </c>
    </row>
    <row r="972" spans="1:11" x14ac:dyDescent="0.25">
      <c r="A972" s="2">
        <v>38534</v>
      </c>
      <c r="B972">
        <v>8</v>
      </c>
      <c r="C972" t="s">
        <v>143</v>
      </c>
      <c r="D972">
        <v>1</v>
      </c>
      <c r="E972" t="s">
        <v>56</v>
      </c>
      <c r="F972">
        <v>2</v>
      </c>
      <c r="G972" t="s">
        <v>60</v>
      </c>
      <c r="H972" t="s">
        <v>74</v>
      </c>
      <c r="I972" t="s">
        <v>59</v>
      </c>
      <c r="J972" t="s">
        <v>32</v>
      </c>
      <c r="K972">
        <v>750</v>
      </c>
    </row>
    <row r="973" spans="1:11" x14ac:dyDescent="0.25">
      <c r="A973" s="2">
        <v>38534</v>
      </c>
      <c r="B973">
        <v>8</v>
      </c>
      <c r="C973" t="s">
        <v>143</v>
      </c>
      <c r="D973">
        <v>1</v>
      </c>
      <c r="E973" t="s">
        <v>56</v>
      </c>
      <c r="F973">
        <v>2</v>
      </c>
      <c r="G973" t="s">
        <v>60</v>
      </c>
      <c r="H973" t="s">
        <v>75</v>
      </c>
      <c r="I973" t="s">
        <v>59</v>
      </c>
      <c r="J973" t="s">
        <v>32</v>
      </c>
      <c r="K973">
        <v>480</v>
      </c>
    </row>
    <row r="974" spans="1:11" x14ac:dyDescent="0.25">
      <c r="A974" s="2">
        <v>38534</v>
      </c>
      <c r="B974">
        <v>8</v>
      </c>
      <c r="C974" t="s">
        <v>143</v>
      </c>
      <c r="D974">
        <v>1</v>
      </c>
      <c r="E974" t="s">
        <v>56</v>
      </c>
      <c r="F974">
        <v>1</v>
      </c>
      <c r="G974" t="s">
        <v>57</v>
      </c>
      <c r="H974" t="s">
        <v>75</v>
      </c>
      <c r="I974" t="s">
        <v>59</v>
      </c>
      <c r="J974" t="s">
        <v>32</v>
      </c>
      <c r="K974">
        <v>779.88</v>
      </c>
    </row>
    <row r="975" spans="1:11" x14ac:dyDescent="0.25">
      <c r="A975" s="2">
        <v>38534</v>
      </c>
      <c r="B975">
        <v>8</v>
      </c>
      <c r="C975" t="s">
        <v>143</v>
      </c>
      <c r="D975">
        <v>1</v>
      </c>
      <c r="E975" t="s">
        <v>56</v>
      </c>
      <c r="F975">
        <v>1</v>
      </c>
      <c r="G975" t="s">
        <v>57</v>
      </c>
      <c r="H975" t="s">
        <v>76</v>
      </c>
      <c r="I975" t="s">
        <v>59</v>
      </c>
      <c r="J975" t="s">
        <v>32</v>
      </c>
      <c r="K975">
        <v>78.36</v>
      </c>
    </row>
    <row r="976" spans="1:11" x14ac:dyDescent="0.25">
      <c r="A976" s="2">
        <v>38534</v>
      </c>
      <c r="B976">
        <v>8</v>
      </c>
      <c r="C976" t="s">
        <v>143</v>
      </c>
      <c r="D976">
        <v>1</v>
      </c>
      <c r="E976" t="s">
        <v>56</v>
      </c>
      <c r="F976">
        <v>2</v>
      </c>
      <c r="G976" t="s">
        <v>60</v>
      </c>
      <c r="H976" t="s">
        <v>76</v>
      </c>
      <c r="I976" t="s">
        <v>59</v>
      </c>
      <c r="J976" t="s">
        <v>32</v>
      </c>
      <c r="K976">
        <v>50</v>
      </c>
    </row>
    <row r="977" spans="1:11" x14ac:dyDescent="0.25">
      <c r="A977" s="2">
        <v>38534</v>
      </c>
      <c r="B977">
        <v>8</v>
      </c>
      <c r="C977" t="s">
        <v>143</v>
      </c>
      <c r="D977">
        <v>1</v>
      </c>
      <c r="E977" t="s">
        <v>56</v>
      </c>
      <c r="F977">
        <v>2</v>
      </c>
      <c r="G977" t="s">
        <v>60</v>
      </c>
      <c r="H977" t="s">
        <v>77</v>
      </c>
      <c r="I977" t="s">
        <v>59</v>
      </c>
      <c r="J977" t="s">
        <v>32</v>
      </c>
      <c r="K977">
        <v>200</v>
      </c>
    </row>
    <row r="978" spans="1:11" x14ac:dyDescent="0.25">
      <c r="A978" s="2">
        <v>38534</v>
      </c>
      <c r="B978">
        <v>8</v>
      </c>
      <c r="C978" t="s">
        <v>143</v>
      </c>
      <c r="D978">
        <v>1</v>
      </c>
      <c r="E978" t="s">
        <v>56</v>
      </c>
      <c r="F978">
        <v>1</v>
      </c>
      <c r="G978" t="s">
        <v>57</v>
      </c>
      <c r="H978" t="s">
        <v>77</v>
      </c>
      <c r="I978" t="s">
        <v>59</v>
      </c>
      <c r="J978" t="s">
        <v>32</v>
      </c>
      <c r="K978">
        <v>273.81</v>
      </c>
    </row>
    <row r="979" spans="1:11" x14ac:dyDescent="0.25">
      <c r="A979" s="2">
        <v>38534</v>
      </c>
      <c r="B979">
        <v>8</v>
      </c>
      <c r="C979" t="s">
        <v>143</v>
      </c>
      <c r="D979">
        <v>1</v>
      </c>
      <c r="E979" t="s">
        <v>56</v>
      </c>
      <c r="F979">
        <v>1</v>
      </c>
      <c r="G979" t="s">
        <v>57</v>
      </c>
      <c r="H979" t="s">
        <v>78</v>
      </c>
      <c r="I979" t="s">
        <v>59</v>
      </c>
      <c r="J979" t="s">
        <v>32</v>
      </c>
      <c r="K979">
        <v>235.93</v>
      </c>
    </row>
    <row r="980" spans="1:11" x14ac:dyDescent="0.25">
      <c r="A980" s="2">
        <v>38534</v>
      </c>
      <c r="B980">
        <v>8</v>
      </c>
      <c r="C980" t="s">
        <v>143</v>
      </c>
      <c r="D980">
        <v>1</v>
      </c>
      <c r="E980" t="s">
        <v>56</v>
      </c>
      <c r="F980">
        <v>2</v>
      </c>
      <c r="G980" t="s">
        <v>60</v>
      </c>
      <c r="H980" t="s">
        <v>78</v>
      </c>
      <c r="I980" t="s">
        <v>59</v>
      </c>
      <c r="J980" t="s">
        <v>32</v>
      </c>
      <c r="K980">
        <v>200</v>
      </c>
    </row>
    <row r="981" spans="1:11" x14ac:dyDescent="0.25">
      <c r="A981" s="2">
        <v>38534</v>
      </c>
      <c r="B981">
        <v>8</v>
      </c>
      <c r="C981" t="s">
        <v>143</v>
      </c>
      <c r="D981">
        <v>1</v>
      </c>
      <c r="E981" t="s">
        <v>56</v>
      </c>
      <c r="F981">
        <v>2</v>
      </c>
      <c r="G981" t="s">
        <v>60</v>
      </c>
      <c r="H981" t="s">
        <v>79</v>
      </c>
      <c r="I981" t="s">
        <v>59</v>
      </c>
      <c r="J981" t="s">
        <v>32</v>
      </c>
      <c r="K981">
        <v>100</v>
      </c>
    </row>
    <row r="982" spans="1:11" x14ac:dyDescent="0.25">
      <c r="A982" s="2">
        <v>38534</v>
      </c>
      <c r="B982">
        <v>8</v>
      </c>
      <c r="C982" t="s">
        <v>143</v>
      </c>
      <c r="D982">
        <v>1</v>
      </c>
      <c r="E982" t="s">
        <v>56</v>
      </c>
      <c r="F982">
        <v>1</v>
      </c>
      <c r="G982" t="s">
        <v>57</v>
      </c>
      <c r="H982" t="s">
        <v>79</v>
      </c>
      <c r="I982" t="s">
        <v>59</v>
      </c>
      <c r="J982" t="s">
        <v>32</v>
      </c>
      <c r="K982">
        <v>219.27</v>
      </c>
    </row>
    <row r="983" spans="1:11" x14ac:dyDescent="0.25">
      <c r="A983" s="2">
        <v>38534</v>
      </c>
      <c r="B983">
        <v>8</v>
      </c>
      <c r="C983" t="s">
        <v>143</v>
      </c>
      <c r="D983">
        <v>1</v>
      </c>
      <c r="E983" t="s">
        <v>56</v>
      </c>
      <c r="F983">
        <v>1</v>
      </c>
      <c r="G983" t="s">
        <v>57</v>
      </c>
      <c r="H983" t="s">
        <v>80</v>
      </c>
      <c r="I983" t="s">
        <v>59</v>
      </c>
      <c r="J983" t="s">
        <v>32</v>
      </c>
      <c r="K983">
        <v>1092.01</v>
      </c>
    </row>
    <row r="984" spans="1:11" x14ac:dyDescent="0.25">
      <c r="A984" s="2">
        <v>38534</v>
      </c>
      <c r="B984">
        <v>8</v>
      </c>
      <c r="C984" t="s">
        <v>143</v>
      </c>
      <c r="D984">
        <v>1</v>
      </c>
      <c r="E984" t="s">
        <v>56</v>
      </c>
      <c r="F984">
        <v>2</v>
      </c>
      <c r="G984" t="s">
        <v>60</v>
      </c>
      <c r="H984" t="s">
        <v>80</v>
      </c>
      <c r="I984" t="s">
        <v>59</v>
      </c>
      <c r="J984" t="s">
        <v>32</v>
      </c>
      <c r="K984">
        <v>650</v>
      </c>
    </row>
    <row r="985" spans="1:11" x14ac:dyDescent="0.25">
      <c r="A985" s="2">
        <v>38534</v>
      </c>
      <c r="B985">
        <v>8</v>
      </c>
      <c r="C985" t="s">
        <v>143</v>
      </c>
      <c r="D985">
        <v>1</v>
      </c>
      <c r="E985" t="s">
        <v>56</v>
      </c>
      <c r="F985">
        <v>1</v>
      </c>
      <c r="G985" t="s">
        <v>57</v>
      </c>
      <c r="H985" t="s">
        <v>81</v>
      </c>
      <c r="I985" t="s">
        <v>82</v>
      </c>
      <c r="J985" t="s">
        <v>32</v>
      </c>
      <c r="K985">
        <v>229.87</v>
      </c>
    </row>
    <row r="986" spans="1:11" x14ac:dyDescent="0.25">
      <c r="A986" s="2">
        <v>38534</v>
      </c>
      <c r="B986">
        <v>8</v>
      </c>
      <c r="C986" t="s">
        <v>143</v>
      </c>
      <c r="D986">
        <v>1</v>
      </c>
      <c r="E986" t="s">
        <v>56</v>
      </c>
      <c r="F986">
        <v>1</v>
      </c>
      <c r="G986" t="s">
        <v>57</v>
      </c>
      <c r="H986" t="s">
        <v>83</v>
      </c>
      <c r="I986" t="s">
        <v>59</v>
      </c>
      <c r="J986" t="s">
        <v>32</v>
      </c>
      <c r="K986">
        <v>352.6</v>
      </c>
    </row>
    <row r="987" spans="1:11" x14ac:dyDescent="0.25">
      <c r="A987" s="2">
        <v>38534</v>
      </c>
      <c r="B987">
        <v>8</v>
      </c>
      <c r="C987" t="s">
        <v>143</v>
      </c>
      <c r="D987">
        <v>1</v>
      </c>
      <c r="E987" t="s">
        <v>56</v>
      </c>
      <c r="F987">
        <v>1</v>
      </c>
      <c r="G987" t="s">
        <v>57</v>
      </c>
      <c r="H987" t="s">
        <v>84</v>
      </c>
      <c r="I987" t="s">
        <v>82</v>
      </c>
      <c r="J987" t="s">
        <v>32</v>
      </c>
      <c r="K987">
        <v>-280.73</v>
      </c>
    </row>
    <row r="988" spans="1:11" x14ac:dyDescent="0.25">
      <c r="A988" s="2">
        <v>38534</v>
      </c>
      <c r="B988">
        <v>8</v>
      </c>
      <c r="C988" t="s">
        <v>143</v>
      </c>
      <c r="D988">
        <v>1</v>
      </c>
      <c r="E988" t="s">
        <v>56</v>
      </c>
      <c r="F988">
        <v>1</v>
      </c>
      <c r="G988" t="s">
        <v>57</v>
      </c>
      <c r="H988" t="s">
        <v>85</v>
      </c>
      <c r="I988" t="s">
        <v>82</v>
      </c>
      <c r="J988" t="s">
        <v>32</v>
      </c>
      <c r="K988">
        <v>470.79</v>
      </c>
    </row>
    <row r="989" spans="1:11" x14ac:dyDescent="0.25">
      <c r="A989" s="2">
        <v>38534</v>
      </c>
      <c r="B989">
        <v>8</v>
      </c>
      <c r="C989" t="s">
        <v>143</v>
      </c>
      <c r="D989">
        <v>1</v>
      </c>
      <c r="E989" t="s">
        <v>56</v>
      </c>
      <c r="F989">
        <v>1</v>
      </c>
      <c r="G989" t="s">
        <v>57</v>
      </c>
      <c r="H989" t="s">
        <v>86</v>
      </c>
      <c r="I989" t="s">
        <v>59</v>
      </c>
      <c r="J989" t="s">
        <v>32</v>
      </c>
      <c r="K989">
        <v>404.12</v>
      </c>
    </row>
    <row r="990" spans="1:11" x14ac:dyDescent="0.25">
      <c r="A990" s="2">
        <v>38534</v>
      </c>
      <c r="B990">
        <v>8</v>
      </c>
      <c r="C990" t="s">
        <v>143</v>
      </c>
      <c r="D990">
        <v>1</v>
      </c>
      <c r="E990" t="s">
        <v>56</v>
      </c>
      <c r="F990">
        <v>1</v>
      </c>
      <c r="G990" t="s">
        <v>57</v>
      </c>
      <c r="H990" t="s">
        <v>87</v>
      </c>
      <c r="I990" t="s">
        <v>88</v>
      </c>
      <c r="J990" t="s">
        <v>89</v>
      </c>
      <c r="K990">
        <v>8</v>
      </c>
    </row>
    <row r="991" spans="1:11" x14ac:dyDescent="0.25">
      <c r="A991" s="2">
        <v>38534</v>
      </c>
      <c r="B991">
        <v>8</v>
      </c>
      <c r="C991" t="s">
        <v>143</v>
      </c>
      <c r="D991">
        <v>2</v>
      </c>
      <c r="E991" t="s">
        <v>90</v>
      </c>
      <c r="F991">
        <v>1</v>
      </c>
      <c r="G991" t="s">
        <v>57</v>
      </c>
      <c r="H991" t="s">
        <v>91</v>
      </c>
      <c r="I991" t="s">
        <v>92</v>
      </c>
      <c r="J991" t="s">
        <v>32</v>
      </c>
      <c r="K991">
        <v>72197.88</v>
      </c>
    </row>
    <row r="992" spans="1:11" x14ac:dyDescent="0.25">
      <c r="A992" s="2">
        <v>38534</v>
      </c>
      <c r="B992">
        <v>8</v>
      </c>
      <c r="C992" t="s">
        <v>143</v>
      </c>
      <c r="D992">
        <v>2</v>
      </c>
      <c r="E992" t="s">
        <v>90</v>
      </c>
      <c r="F992">
        <v>1</v>
      </c>
      <c r="G992" t="s">
        <v>57</v>
      </c>
      <c r="H992" t="s">
        <v>58</v>
      </c>
      <c r="I992" t="s">
        <v>59</v>
      </c>
      <c r="J992" t="s">
        <v>32</v>
      </c>
      <c r="K992">
        <v>24969.73</v>
      </c>
    </row>
    <row r="993" spans="1:11" x14ac:dyDescent="0.25">
      <c r="A993" s="2">
        <v>38534</v>
      </c>
      <c r="B993">
        <v>8</v>
      </c>
      <c r="C993" t="s">
        <v>143</v>
      </c>
      <c r="D993">
        <v>2</v>
      </c>
      <c r="E993" t="s">
        <v>90</v>
      </c>
      <c r="F993">
        <v>2</v>
      </c>
      <c r="G993" t="s">
        <v>60</v>
      </c>
      <c r="H993" t="s">
        <v>58</v>
      </c>
      <c r="I993" t="s">
        <v>59</v>
      </c>
      <c r="J993" t="s">
        <v>32</v>
      </c>
      <c r="K993">
        <v>15600</v>
      </c>
    </row>
    <row r="994" spans="1:11" x14ac:dyDescent="0.25">
      <c r="A994" s="2">
        <v>38534</v>
      </c>
      <c r="B994">
        <v>8</v>
      </c>
      <c r="C994" t="s">
        <v>143</v>
      </c>
      <c r="D994">
        <v>2</v>
      </c>
      <c r="E994" t="s">
        <v>90</v>
      </c>
      <c r="F994">
        <v>2</v>
      </c>
      <c r="G994" t="s">
        <v>60</v>
      </c>
      <c r="H994" t="s">
        <v>61</v>
      </c>
      <c r="I994" t="s">
        <v>59</v>
      </c>
      <c r="J994" t="s">
        <v>32</v>
      </c>
      <c r="K994">
        <v>1500</v>
      </c>
    </row>
    <row r="995" spans="1:11" x14ac:dyDescent="0.25">
      <c r="A995" s="2">
        <v>38534</v>
      </c>
      <c r="B995">
        <v>8</v>
      </c>
      <c r="C995" t="s">
        <v>143</v>
      </c>
      <c r="D995">
        <v>2</v>
      </c>
      <c r="E995" t="s">
        <v>90</v>
      </c>
      <c r="F995">
        <v>1</v>
      </c>
      <c r="G995" t="s">
        <v>57</v>
      </c>
      <c r="H995" t="s">
        <v>61</v>
      </c>
      <c r="I995" t="s">
        <v>59</v>
      </c>
      <c r="J995" t="s">
        <v>32</v>
      </c>
      <c r="K995">
        <v>2498.1</v>
      </c>
    </row>
    <row r="996" spans="1:11" x14ac:dyDescent="0.25">
      <c r="A996" s="2">
        <v>38534</v>
      </c>
      <c r="B996">
        <v>8</v>
      </c>
      <c r="C996" t="s">
        <v>143</v>
      </c>
      <c r="D996">
        <v>2</v>
      </c>
      <c r="E996" t="s">
        <v>90</v>
      </c>
      <c r="F996">
        <v>1</v>
      </c>
      <c r="G996" t="s">
        <v>57</v>
      </c>
      <c r="H996" t="s">
        <v>62</v>
      </c>
      <c r="I996" t="s">
        <v>59</v>
      </c>
      <c r="J996" t="s">
        <v>32</v>
      </c>
      <c r="K996">
        <v>1249.5899999999999</v>
      </c>
    </row>
    <row r="997" spans="1:11" x14ac:dyDescent="0.25">
      <c r="A997" s="2">
        <v>38534</v>
      </c>
      <c r="B997">
        <v>8</v>
      </c>
      <c r="C997" t="s">
        <v>143</v>
      </c>
      <c r="D997">
        <v>2</v>
      </c>
      <c r="E997" t="s">
        <v>90</v>
      </c>
      <c r="F997">
        <v>2</v>
      </c>
      <c r="G997" t="s">
        <v>60</v>
      </c>
      <c r="H997" t="s">
        <v>62</v>
      </c>
      <c r="I997" t="s">
        <v>59</v>
      </c>
      <c r="J997" t="s">
        <v>32</v>
      </c>
      <c r="K997">
        <v>1000</v>
      </c>
    </row>
    <row r="998" spans="1:11" x14ac:dyDescent="0.25">
      <c r="A998" s="2">
        <v>38534</v>
      </c>
      <c r="B998">
        <v>8</v>
      </c>
      <c r="C998" t="s">
        <v>143</v>
      </c>
      <c r="D998">
        <v>2</v>
      </c>
      <c r="E998" t="s">
        <v>90</v>
      </c>
      <c r="F998">
        <v>2</v>
      </c>
      <c r="G998" t="s">
        <v>60</v>
      </c>
      <c r="H998" t="s">
        <v>63</v>
      </c>
      <c r="I998" t="s">
        <v>59</v>
      </c>
      <c r="J998" t="s">
        <v>32</v>
      </c>
      <c r="K998">
        <v>200</v>
      </c>
    </row>
    <row r="999" spans="1:11" x14ac:dyDescent="0.25">
      <c r="A999" s="2">
        <v>38534</v>
      </c>
      <c r="B999">
        <v>8</v>
      </c>
      <c r="C999" t="s">
        <v>143</v>
      </c>
      <c r="D999">
        <v>2</v>
      </c>
      <c r="E999" t="s">
        <v>90</v>
      </c>
      <c r="F999">
        <v>1</v>
      </c>
      <c r="G999" t="s">
        <v>57</v>
      </c>
      <c r="H999" t="s">
        <v>63</v>
      </c>
      <c r="I999" t="s">
        <v>59</v>
      </c>
      <c r="J999" t="s">
        <v>32</v>
      </c>
      <c r="K999">
        <v>255.63</v>
      </c>
    </row>
    <row r="1000" spans="1:11" x14ac:dyDescent="0.25">
      <c r="A1000" s="2">
        <v>38534</v>
      </c>
      <c r="B1000">
        <v>8</v>
      </c>
      <c r="C1000" t="s">
        <v>143</v>
      </c>
      <c r="D1000">
        <v>2</v>
      </c>
      <c r="E1000" t="s">
        <v>90</v>
      </c>
      <c r="F1000">
        <v>1</v>
      </c>
      <c r="G1000" t="s">
        <v>57</v>
      </c>
      <c r="H1000" t="s">
        <v>64</v>
      </c>
      <c r="I1000" t="s">
        <v>59</v>
      </c>
      <c r="J1000" t="s">
        <v>32</v>
      </c>
      <c r="K1000">
        <v>231.39</v>
      </c>
    </row>
    <row r="1001" spans="1:11" x14ac:dyDescent="0.25">
      <c r="A1001" s="2">
        <v>38534</v>
      </c>
      <c r="B1001">
        <v>8</v>
      </c>
      <c r="C1001" t="s">
        <v>143</v>
      </c>
      <c r="D1001">
        <v>2</v>
      </c>
      <c r="E1001" t="s">
        <v>90</v>
      </c>
      <c r="F1001">
        <v>2</v>
      </c>
      <c r="G1001" t="s">
        <v>60</v>
      </c>
      <c r="H1001" t="s">
        <v>64</v>
      </c>
      <c r="I1001" t="s">
        <v>59</v>
      </c>
      <c r="J1001" t="s">
        <v>32</v>
      </c>
      <c r="K1001">
        <v>200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F12"/>
  <sheetViews>
    <sheetView workbookViewId="0">
      <selection activeCell="D16" sqref="D16"/>
    </sheetView>
  </sheetViews>
  <sheetFormatPr defaultRowHeight="15" x14ac:dyDescent="0.25"/>
  <cols>
    <col min="1" max="1" width="25.85546875" bestFit="1" customWidth="1"/>
    <col min="2" max="2" width="15.5703125" bestFit="1" customWidth="1"/>
    <col min="3" max="3" width="12.28515625" bestFit="1" customWidth="1"/>
    <col min="4" max="4" width="20.85546875" bestFit="1" customWidth="1"/>
    <col min="5" max="5" width="31.7109375" bestFit="1" customWidth="1"/>
    <col min="6" max="6" width="64.42578125" bestFit="1" customWidth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33</v>
      </c>
      <c r="F1" s="1" t="s">
        <v>5</v>
      </c>
    </row>
    <row r="2" spans="1:6" x14ac:dyDescent="0.25">
      <c r="A2" t="s">
        <v>161</v>
      </c>
      <c r="B2" t="s">
        <v>144</v>
      </c>
      <c r="C2" t="s">
        <v>148</v>
      </c>
      <c r="D2" t="s">
        <v>163</v>
      </c>
      <c r="E2" t="s">
        <v>150</v>
      </c>
    </row>
    <row r="3" spans="1:6" x14ac:dyDescent="0.25">
      <c r="A3" t="s">
        <v>45</v>
      </c>
      <c r="B3" t="s">
        <v>145</v>
      </c>
      <c r="C3" t="s">
        <v>7</v>
      </c>
      <c r="E3" t="s">
        <v>151</v>
      </c>
      <c r="F3" t="s">
        <v>156</v>
      </c>
    </row>
    <row r="4" spans="1:6" x14ac:dyDescent="0.25">
      <c r="A4" t="s">
        <v>46</v>
      </c>
      <c r="B4" t="s">
        <v>146</v>
      </c>
      <c r="C4" t="s">
        <v>7</v>
      </c>
      <c r="E4" t="s">
        <v>151</v>
      </c>
    </row>
    <row r="5" spans="1:6" x14ac:dyDescent="0.25">
      <c r="A5" t="s">
        <v>47</v>
      </c>
      <c r="B5" t="s">
        <v>145</v>
      </c>
      <c r="C5" t="s">
        <v>7</v>
      </c>
      <c r="E5" t="s">
        <v>152</v>
      </c>
      <c r="F5" t="s">
        <v>157</v>
      </c>
    </row>
    <row r="6" spans="1:6" x14ac:dyDescent="0.25">
      <c r="A6" t="s">
        <v>48</v>
      </c>
      <c r="B6" t="s">
        <v>146</v>
      </c>
      <c r="C6" t="s">
        <v>7</v>
      </c>
      <c r="E6" t="s">
        <v>152</v>
      </c>
    </row>
    <row r="7" spans="1:6" x14ac:dyDescent="0.25">
      <c r="A7" t="s">
        <v>49</v>
      </c>
      <c r="B7" t="s">
        <v>145</v>
      </c>
      <c r="C7" t="s">
        <v>7</v>
      </c>
      <c r="D7" t="s">
        <v>149</v>
      </c>
      <c r="E7" t="s">
        <v>155</v>
      </c>
    </row>
    <row r="8" spans="1:6" x14ac:dyDescent="0.25">
      <c r="A8" t="s">
        <v>50</v>
      </c>
      <c r="B8" t="s">
        <v>37</v>
      </c>
      <c r="C8" t="s">
        <v>7</v>
      </c>
      <c r="D8" t="s">
        <v>149</v>
      </c>
      <c r="E8" t="s">
        <v>155</v>
      </c>
    </row>
    <row r="9" spans="1:6" x14ac:dyDescent="0.25">
      <c r="A9" t="s">
        <v>51</v>
      </c>
      <c r="B9" t="s">
        <v>146</v>
      </c>
      <c r="C9" t="s">
        <v>7</v>
      </c>
      <c r="D9" t="s">
        <v>149</v>
      </c>
      <c r="E9" t="s">
        <v>154</v>
      </c>
    </row>
    <row r="10" spans="1:6" x14ac:dyDescent="0.25">
      <c r="A10" t="s">
        <v>52</v>
      </c>
      <c r="B10" t="s">
        <v>146</v>
      </c>
      <c r="C10" t="s">
        <v>7</v>
      </c>
      <c r="D10" t="s">
        <v>149</v>
      </c>
      <c r="E10" t="s">
        <v>154</v>
      </c>
    </row>
    <row r="11" spans="1:6" x14ac:dyDescent="0.25">
      <c r="A11" t="s">
        <v>53</v>
      </c>
      <c r="B11" t="s">
        <v>146</v>
      </c>
      <c r="C11" t="s">
        <v>7</v>
      </c>
      <c r="D11" t="s">
        <v>149</v>
      </c>
      <c r="E11" t="s">
        <v>154</v>
      </c>
    </row>
    <row r="12" spans="1:6" x14ac:dyDescent="0.25">
      <c r="A12" t="s">
        <v>54</v>
      </c>
      <c r="B12" t="s">
        <v>147</v>
      </c>
      <c r="C12" t="s">
        <v>148</v>
      </c>
      <c r="E12" t="s">
        <v>150</v>
      </c>
    </row>
  </sheetData>
  <autoFilter ref="A1:F12" xr:uid="{00000000-0009-0000-0000-000001000000}"/>
  <dataValidations count="2">
    <dataValidation type="list" allowBlank="1" showInputMessage="1" showErrorMessage="1" sqref="C1" xr:uid="{00000000-0002-0000-0100-000000000000}">
      <formula1>"Dimension, Fact"</formula1>
    </dataValidation>
    <dataValidation type="list" allowBlank="1" showInputMessage="1" showErrorMessage="1" sqref="D1" xr:uid="{00000000-0002-0000-0100-000001000000}">
      <formula1>"Junk, Role Play, Junk, Degenerate"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97865EF-EF4C-4008-8D00-ECBEF30489E3}">
          <x14:formula1>
            <xm:f>'List Population Values'!$A$2:$A$16</xm:f>
          </x14:formula1>
          <xm:sqref>B2:B61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48"/>
  <sheetViews>
    <sheetView workbookViewId="0">
      <selection activeCell="G1" sqref="G1"/>
    </sheetView>
  </sheetViews>
  <sheetFormatPr defaultRowHeight="15" x14ac:dyDescent="0.25"/>
  <cols>
    <col min="1" max="1" width="26.42578125" bestFit="1" customWidth="1"/>
    <col min="2" max="2" width="21.140625" bestFit="1" customWidth="1"/>
    <col min="3" max="3" width="44.85546875" bestFit="1" customWidth="1"/>
  </cols>
  <sheetData>
    <row r="1" spans="1:7" x14ac:dyDescent="0.25">
      <c r="A1" t="s">
        <v>161</v>
      </c>
      <c r="B1" t="s">
        <v>38</v>
      </c>
      <c r="C1" t="str">
        <f>A1&amp;" "&amp;B1</f>
        <v>FullDateAlternateKey NVARCHAR(255) NULL,</v>
      </c>
      <c r="G1" t="s">
        <v>8</v>
      </c>
    </row>
    <row r="2" spans="1:7" x14ac:dyDescent="0.25">
      <c r="A2" t="s">
        <v>45</v>
      </c>
      <c r="B2" t="s">
        <v>38</v>
      </c>
      <c r="C2" t="str">
        <f t="shared" ref="C2:C48" si="0">A2&amp;" "&amp;B2</f>
        <v>OrganizationKey NVARCHAR(255) NULL,</v>
      </c>
    </row>
    <row r="3" spans="1:7" x14ac:dyDescent="0.25">
      <c r="A3" t="s">
        <v>46</v>
      </c>
      <c r="B3" t="s">
        <v>38</v>
      </c>
      <c r="C3" t="str">
        <f t="shared" si="0"/>
        <v>OrganizationName NVARCHAR(255) NULL,</v>
      </c>
    </row>
    <row r="4" spans="1:7" x14ac:dyDescent="0.25">
      <c r="A4" t="s">
        <v>47</v>
      </c>
      <c r="B4" t="s">
        <v>38</v>
      </c>
      <c r="C4" t="str">
        <f t="shared" si="0"/>
        <v>DepartmentGroupKey NVARCHAR(255) NULL,</v>
      </c>
    </row>
    <row r="5" spans="1:7" x14ac:dyDescent="0.25">
      <c r="A5" t="s">
        <v>48</v>
      </c>
      <c r="B5" t="s">
        <v>38</v>
      </c>
      <c r="C5" t="str">
        <f t="shared" si="0"/>
        <v>DepartmentGroupName NVARCHAR(255) NULL,</v>
      </c>
    </row>
    <row r="6" spans="1:7" x14ac:dyDescent="0.25">
      <c r="A6" t="s">
        <v>49</v>
      </c>
      <c r="B6" t="s">
        <v>38</v>
      </c>
      <c r="C6" t="str">
        <f t="shared" si="0"/>
        <v>ScenarioKey NVARCHAR(255) NULL,</v>
      </c>
    </row>
    <row r="7" spans="1:7" x14ac:dyDescent="0.25">
      <c r="A7" t="s">
        <v>50</v>
      </c>
      <c r="B7" t="s">
        <v>38</v>
      </c>
      <c r="C7" t="str">
        <f t="shared" si="0"/>
        <v>ScenarioName NVARCHAR(255) NULL,</v>
      </c>
    </row>
    <row r="8" spans="1:7" x14ac:dyDescent="0.25">
      <c r="A8" t="s">
        <v>51</v>
      </c>
      <c r="B8" t="s">
        <v>38</v>
      </c>
      <c r="C8" t="str">
        <f t="shared" si="0"/>
        <v>AccountDescription NVARCHAR(255) NULL,</v>
      </c>
    </row>
    <row r="9" spans="1:7" x14ac:dyDescent="0.25">
      <c r="A9" t="s">
        <v>52</v>
      </c>
      <c r="B9" t="s">
        <v>38</v>
      </c>
      <c r="C9" t="str">
        <f t="shared" si="0"/>
        <v>AccountType NVARCHAR(255) NULL,</v>
      </c>
    </row>
    <row r="10" spans="1:7" x14ac:dyDescent="0.25">
      <c r="A10" t="s">
        <v>53</v>
      </c>
      <c r="B10" t="s">
        <v>38</v>
      </c>
      <c r="C10" t="str">
        <f t="shared" si="0"/>
        <v>ValueType NVARCHAR(255) NULL,</v>
      </c>
    </row>
    <row r="11" spans="1:7" x14ac:dyDescent="0.25">
      <c r="A11" t="s">
        <v>54</v>
      </c>
      <c r="B11" t="s">
        <v>38</v>
      </c>
      <c r="C11" t="str">
        <f t="shared" si="0"/>
        <v>Amount NVARCHAR(255) NULL,</v>
      </c>
    </row>
    <row r="12" spans="1:7" x14ac:dyDescent="0.25">
      <c r="B12" t="s">
        <v>38</v>
      </c>
      <c r="C12" t="str">
        <f t="shared" si="0"/>
        <v xml:space="preserve"> NVARCHAR(255) NULL,</v>
      </c>
    </row>
    <row r="13" spans="1:7" x14ac:dyDescent="0.25">
      <c r="B13" t="s">
        <v>38</v>
      </c>
      <c r="C13" t="str">
        <f t="shared" si="0"/>
        <v xml:space="preserve"> NVARCHAR(255) NULL,</v>
      </c>
    </row>
    <row r="14" spans="1:7" x14ac:dyDescent="0.25">
      <c r="B14" t="s">
        <v>38</v>
      </c>
      <c r="C14" t="str">
        <f t="shared" si="0"/>
        <v xml:space="preserve"> NVARCHAR(255) NULL,</v>
      </c>
    </row>
    <row r="15" spans="1:7" x14ac:dyDescent="0.25">
      <c r="B15" t="s">
        <v>38</v>
      </c>
      <c r="C15" t="str">
        <f t="shared" si="0"/>
        <v xml:space="preserve"> NVARCHAR(255) NULL,</v>
      </c>
    </row>
    <row r="16" spans="1:7" x14ac:dyDescent="0.25">
      <c r="B16" t="s">
        <v>38</v>
      </c>
      <c r="C16" t="str">
        <f t="shared" si="0"/>
        <v xml:space="preserve"> NVARCHAR(255) NULL,</v>
      </c>
    </row>
    <row r="17" spans="2:3" x14ac:dyDescent="0.25">
      <c r="B17" t="s">
        <v>38</v>
      </c>
      <c r="C17" t="str">
        <f t="shared" si="0"/>
        <v xml:space="preserve"> NVARCHAR(255) NULL,</v>
      </c>
    </row>
    <row r="18" spans="2:3" x14ac:dyDescent="0.25">
      <c r="B18" t="s">
        <v>38</v>
      </c>
      <c r="C18" t="str">
        <f t="shared" si="0"/>
        <v xml:space="preserve"> NVARCHAR(255) NULL,</v>
      </c>
    </row>
    <row r="19" spans="2:3" x14ac:dyDescent="0.25">
      <c r="B19" t="s">
        <v>38</v>
      </c>
      <c r="C19" t="str">
        <f t="shared" si="0"/>
        <v xml:space="preserve"> NVARCHAR(255) NULL,</v>
      </c>
    </row>
    <row r="20" spans="2:3" x14ac:dyDescent="0.25">
      <c r="B20" t="s">
        <v>38</v>
      </c>
      <c r="C20" t="str">
        <f t="shared" si="0"/>
        <v xml:space="preserve"> NVARCHAR(255) NULL,</v>
      </c>
    </row>
    <row r="21" spans="2:3" x14ac:dyDescent="0.25">
      <c r="B21" t="s">
        <v>38</v>
      </c>
      <c r="C21" t="str">
        <f t="shared" si="0"/>
        <v xml:space="preserve"> NVARCHAR(255) NULL,</v>
      </c>
    </row>
    <row r="22" spans="2:3" x14ac:dyDescent="0.25">
      <c r="B22" t="s">
        <v>38</v>
      </c>
      <c r="C22" t="str">
        <f t="shared" si="0"/>
        <v xml:space="preserve"> NVARCHAR(255) NULL,</v>
      </c>
    </row>
    <row r="23" spans="2:3" x14ac:dyDescent="0.25">
      <c r="B23" t="s">
        <v>38</v>
      </c>
      <c r="C23" t="str">
        <f t="shared" si="0"/>
        <v xml:space="preserve"> NVARCHAR(255) NULL,</v>
      </c>
    </row>
    <row r="24" spans="2:3" x14ac:dyDescent="0.25">
      <c r="B24" t="s">
        <v>38</v>
      </c>
      <c r="C24" t="str">
        <f t="shared" si="0"/>
        <v xml:space="preserve"> NVARCHAR(255) NULL,</v>
      </c>
    </row>
    <row r="25" spans="2:3" x14ac:dyDescent="0.25">
      <c r="B25" t="s">
        <v>38</v>
      </c>
      <c r="C25" t="str">
        <f t="shared" si="0"/>
        <v xml:space="preserve"> NVARCHAR(255) NULL,</v>
      </c>
    </row>
    <row r="26" spans="2:3" x14ac:dyDescent="0.25">
      <c r="B26" t="s">
        <v>38</v>
      </c>
      <c r="C26" t="str">
        <f t="shared" si="0"/>
        <v xml:space="preserve"> NVARCHAR(255) NULL,</v>
      </c>
    </row>
    <row r="27" spans="2:3" x14ac:dyDescent="0.25">
      <c r="B27" t="s">
        <v>38</v>
      </c>
      <c r="C27" t="str">
        <f t="shared" si="0"/>
        <v xml:space="preserve"> NVARCHAR(255) NULL,</v>
      </c>
    </row>
    <row r="28" spans="2:3" x14ac:dyDescent="0.25">
      <c r="B28" t="s">
        <v>38</v>
      </c>
      <c r="C28" t="str">
        <f t="shared" si="0"/>
        <v xml:space="preserve"> NVARCHAR(255) NULL,</v>
      </c>
    </row>
    <row r="29" spans="2:3" x14ac:dyDescent="0.25">
      <c r="B29" t="s">
        <v>38</v>
      </c>
      <c r="C29" t="str">
        <f t="shared" si="0"/>
        <v xml:space="preserve"> NVARCHAR(255) NULL,</v>
      </c>
    </row>
    <row r="30" spans="2:3" x14ac:dyDescent="0.25">
      <c r="B30" t="s">
        <v>38</v>
      </c>
      <c r="C30" t="str">
        <f t="shared" si="0"/>
        <v xml:space="preserve"> NVARCHAR(255) NULL,</v>
      </c>
    </row>
    <row r="31" spans="2:3" x14ac:dyDescent="0.25">
      <c r="B31" t="s">
        <v>38</v>
      </c>
      <c r="C31" t="str">
        <f t="shared" si="0"/>
        <v xml:space="preserve"> NVARCHAR(255) NULL,</v>
      </c>
    </row>
    <row r="32" spans="2:3" x14ac:dyDescent="0.25">
      <c r="B32" t="s">
        <v>38</v>
      </c>
      <c r="C32" t="str">
        <f t="shared" si="0"/>
        <v xml:space="preserve"> NVARCHAR(255) NULL,</v>
      </c>
    </row>
    <row r="33" spans="2:3" x14ac:dyDescent="0.25">
      <c r="B33" t="s">
        <v>38</v>
      </c>
      <c r="C33" t="str">
        <f t="shared" si="0"/>
        <v xml:space="preserve"> NVARCHAR(255) NULL,</v>
      </c>
    </row>
    <row r="34" spans="2:3" x14ac:dyDescent="0.25">
      <c r="B34" t="s">
        <v>38</v>
      </c>
      <c r="C34" t="str">
        <f t="shared" si="0"/>
        <v xml:space="preserve"> NVARCHAR(255) NULL,</v>
      </c>
    </row>
    <row r="35" spans="2:3" x14ac:dyDescent="0.25">
      <c r="B35" t="s">
        <v>38</v>
      </c>
      <c r="C35" t="str">
        <f t="shared" si="0"/>
        <v xml:space="preserve"> NVARCHAR(255) NULL,</v>
      </c>
    </row>
    <row r="36" spans="2:3" x14ac:dyDescent="0.25">
      <c r="B36" t="s">
        <v>38</v>
      </c>
      <c r="C36" t="str">
        <f t="shared" si="0"/>
        <v xml:space="preserve"> NVARCHAR(255) NULL,</v>
      </c>
    </row>
    <row r="37" spans="2:3" x14ac:dyDescent="0.25">
      <c r="B37" t="s">
        <v>38</v>
      </c>
      <c r="C37" t="str">
        <f t="shared" si="0"/>
        <v xml:space="preserve"> NVARCHAR(255) NULL,</v>
      </c>
    </row>
    <row r="38" spans="2:3" x14ac:dyDescent="0.25">
      <c r="B38" t="s">
        <v>38</v>
      </c>
      <c r="C38" t="str">
        <f t="shared" si="0"/>
        <v xml:space="preserve"> NVARCHAR(255) NULL,</v>
      </c>
    </row>
    <row r="39" spans="2:3" x14ac:dyDescent="0.25">
      <c r="B39" t="s">
        <v>38</v>
      </c>
      <c r="C39" t="str">
        <f t="shared" si="0"/>
        <v xml:space="preserve"> NVARCHAR(255) NULL,</v>
      </c>
    </row>
    <row r="40" spans="2:3" x14ac:dyDescent="0.25">
      <c r="B40" t="s">
        <v>38</v>
      </c>
      <c r="C40" t="str">
        <f t="shared" si="0"/>
        <v xml:space="preserve"> NVARCHAR(255) NULL,</v>
      </c>
    </row>
    <row r="41" spans="2:3" x14ac:dyDescent="0.25">
      <c r="B41" t="s">
        <v>38</v>
      </c>
      <c r="C41" t="str">
        <f t="shared" si="0"/>
        <v xml:space="preserve"> NVARCHAR(255) NULL,</v>
      </c>
    </row>
    <row r="42" spans="2:3" x14ac:dyDescent="0.25">
      <c r="B42" t="s">
        <v>38</v>
      </c>
      <c r="C42" t="str">
        <f t="shared" si="0"/>
        <v xml:space="preserve"> NVARCHAR(255) NULL,</v>
      </c>
    </row>
    <row r="43" spans="2:3" x14ac:dyDescent="0.25">
      <c r="B43" t="s">
        <v>38</v>
      </c>
      <c r="C43" t="str">
        <f t="shared" si="0"/>
        <v xml:space="preserve"> NVARCHAR(255) NULL,</v>
      </c>
    </row>
    <row r="44" spans="2:3" x14ac:dyDescent="0.25">
      <c r="B44" t="s">
        <v>38</v>
      </c>
      <c r="C44" t="str">
        <f t="shared" si="0"/>
        <v xml:space="preserve"> NVARCHAR(255) NULL,</v>
      </c>
    </row>
    <row r="45" spans="2:3" x14ac:dyDescent="0.25">
      <c r="B45" t="s">
        <v>38</v>
      </c>
      <c r="C45" t="str">
        <f t="shared" si="0"/>
        <v xml:space="preserve"> NVARCHAR(255) NULL,</v>
      </c>
    </row>
    <row r="46" spans="2:3" x14ac:dyDescent="0.25">
      <c r="B46" t="s">
        <v>38</v>
      </c>
      <c r="C46" t="str">
        <f t="shared" si="0"/>
        <v xml:space="preserve"> NVARCHAR(255) NULL,</v>
      </c>
    </row>
    <row r="47" spans="2:3" x14ac:dyDescent="0.25">
      <c r="B47" t="s">
        <v>38</v>
      </c>
      <c r="C47" t="str">
        <f t="shared" si="0"/>
        <v xml:space="preserve"> NVARCHAR(255) NULL,</v>
      </c>
    </row>
    <row r="48" spans="2:3" x14ac:dyDescent="0.25">
      <c r="B48" t="s">
        <v>38</v>
      </c>
      <c r="C48" t="str">
        <f t="shared" si="0"/>
        <v xml:space="preserve"> NVARCHAR(255) NULL,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6B441-B451-4C7A-A28C-9528994F2B9E}">
  <dimension ref="A1:K11"/>
  <sheetViews>
    <sheetView workbookViewId="0">
      <selection activeCell="E16" sqref="E16"/>
    </sheetView>
  </sheetViews>
  <sheetFormatPr defaultRowHeight="15" x14ac:dyDescent="0.25"/>
  <cols>
    <col min="1" max="1" width="40.85546875" bestFit="1" customWidth="1"/>
    <col min="2" max="2" width="9.85546875" bestFit="1" customWidth="1"/>
    <col min="3" max="3" width="18.7109375" bestFit="1" customWidth="1"/>
    <col min="4" max="4" width="18.7109375" customWidth="1"/>
    <col min="5" max="5" width="67.5703125" bestFit="1" customWidth="1"/>
  </cols>
  <sheetData>
    <row r="1" spans="1:11" x14ac:dyDescent="0.25">
      <c r="A1" t="s">
        <v>300</v>
      </c>
      <c r="B1" t="s">
        <v>297</v>
      </c>
      <c r="C1" t="s">
        <v>298</v>
      </c>
      <c r="D1" t="s">
        <v>299</v>
      </c>
      <c r="E1" t="str">
        <f>B1&amp;A1&amp;C1&amp;A1&amp;D1</f>
        <v>MAX(LEN(DECLARANT)) AS MaxLengthOf_DECLARANT,</v>
      </c>
      <c r="K1" t="s">
        <v>8</v>
      </c>
    </row>
    <row r="2" spans="1:11" x14ac:dyDescent="0.25">
      <c r="A2" t="s">
        <v>45</v>
      </c>
      <c r="B2" t="s">
        <v>297</v>
      </c>
      <c r="C2" t="s">
        <v>298</v>
      </c>
      <c r="D2" t="s">
        <v>299</v>
      </c>
      <c r="E2" t="str">
        <f t="shared" ref="E2:E11" si="0">B2&amp;A2&amp;C2&amp;A2&amp;D2</f>
        <v>MAX(LEN(OrganizationKey)) AS MaxLengthOf_OrganizationKey,</v>
      </c>
    </row>
    <row r="3" spans="1:11" x14ac:dyDescent="0.25">
      <c r="A3" t="s">
        <v>46</v>
      </c>
      <c r="B3" t="s">
        <v>297</v>
      </c>
      <c r="C3" t="s">
        <v>298</v>
      </c>
      <c r="D3" t="s">
        <v>299</v>
      </c>
      <c r="E3" t="str">
        <f t="shared" si="0"/>
        <v>MAX(LEN(OrganizationName)) AS MaxLengthOf_OrganizationName,</v>
      </c>
    </row>
    <row r="4" spans="1:11" x14ac:dyDescent="0.25">
      <c r="A4" t="s">
        <v>47</v>
      </c>
      <c r="B4" t="s">
        <v>297</v>
      </c>
      <c r="C4" t="s">
        <v>298</v>
      </c>
      <c r="D4" t="s">
        <v>299</v>
      </c>
      <c r="E4" t="str">
        <f t="shared" si="0"/>
        <v>MAX(LEN(DepartmentGroupKey)) AS MaxLengthOf_DepartmentGroupKey,</v>
      </c>
    </row>
    <row r="5" spans="1:11" x14ac:dyDescent="0.25">
      <c r="A5" t="s">
        <v>48</v>
      </c>
      <c r="B5" t="s">
        <v>297</v>
      </c>
      <c r="C5" t="s">
        <v>298</v>
      </c>
      <c r="D5" t="s">
        <v>299</v>
      </c>
      <c r="E5" t="str">
        <f t="shared" si="0"/>
        <v>MAX(LEN(DepartmentGroupName)) AS MaxLengthOf_DepartmentGroupName,</v>
      </c>
    </row>
    <row r="6" spans="1:11" x14ac:dyDescent="0.25">
      <c r="A6" t="s">
        <v>49</v>
      </c>
      <c r="B6" t="s">
        <v>297</v>
      </c>
      <c r="C6" t="s">
        <v>298</v>
      </c>
      <c r="D6" t="s">
        <v>299</v>
      </c>
      <c r="E6" t="str">
        <f t="shared" si="0"/>
        <v>MAX(LEN(ScenarioKey)) AS MaxLengthOf_ScenarioKey,</v>
      </c>
    </row>
    <row r="7" spans="1:11" x14ac:dyDescent="0.25">
      <c r="A7" t="s">
        <v>50</v>
      </c>
      <c r="B7" t="s">
        <v>297</v>
      </c>
      <c r="C7" t="s">
        <v>298</v>
      </c>
      <c r="D7" t="s">
        <v>299</v>
      </c>
      <c r="E7" t="str">
        <f t="shared" si="0"/>
        <v>MAX(LEN(ScenarioName)) AS MaxLengthOf_ScenarioName,</v>
      </c>
    </row>
    <row r="8" spans="1:11" x14ac:dyDescent="0.25">
      <c r="A8" t="s">
        <v>51</v>
      </c>
      <c r="B8" t="s">
        <v>297</v>
      </c>
      <c r="C8" t="s">
        <v>298</v>
      </c>
      <c r="D8" t="s">
        <v>299</v>
      </c>
      <c r="E8" t="str">
        <f t="shared" si="0"/>
        <v>MAX(LEN(AccountDescription)) AS MaxLengthOf_AccountDescription,</v>
      </c>
    </row>
    <row r="9" spans="1:11" x14ac:dyDescent="0.25">
      <c r="A9" t="s">
        <v>52</v>
      </c>
      <c r="B9" t="s">
        <v>297</v>
      </c>
      <c r="C9" t="s">
        <v>298</v>
      </c>
      <c r="D9" t="s">
        <v>299</v>
      </c>
      <c r="E9" t="str">
        <f t="shared" si="0"/>
        <v>MAX(LEN(AccountType)) AS MaxLengthOf_AccountType,</v>
      </c>
    </row>
    <row r="10" spans="1:11" x14ac:dyDescent="0.25">
      <c r="A10" t="s">
        <v>53</v>
      </c>
      <c r="B10" t="s">
        <v>297</v>
      </c>
      <c r="C10" t="s">
        <v>298</v>
      </c>
      <c r="D10" t="s">
        <v>299</v>
      </c>
      <c r="E10" t="str">
        <f t="shared" si="0"/>
        <v>MAX(LEN(ValueType)) AS MaxLengthOf_ValueType,</v>
      </c>
    </row>
    <row r="11" spans="1:11" x14ac:dyDescent="0.25">
      <c r="A11" t="s">
        <v>54</v>
      </c>
      <c r="B11" t="s">
        <v>297</v>
      </c>
      <c r="C11" t="s">
        <v>298</v>
      </c>
      <c r="D11" t="s">
        <v>299</v>
      </c>
      <c r="E11" t="str">
        <f t="shared" si="0"/>
        <v>MAX(LEN(Amount)) AS MaxLengthOf_Amount,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12"/>
  <sheetViews>
    <sheetView workbookViewId="0">
      <selection activeCell="B3" sqref="B3"/>
    </sheetView>
  </sheetViews>
  <sheetFormatPr defaultRowHeight="15" x14ac:dyDescent="0.25"/>
  <cols>
    <col min="1" max="1" width="23.85546875" bestFit="1" customWidth="1"/>
    <col min="2" max="2" width="41.7109375" bestFit="1" customWidth="1"/>
  </cols>
  <sheetData>
    <row r="1" spans="1:2" x14ac:dyDescent="0.25">
      <c r="A1" s="1" t="s">
        <v>4</v>
      </c>
      <c r="B1" s="1" t="s">
        <v>9</v>
      </c>
    </row>
    <row r="2" spans="1:2" x14ac:dyDescent="0.25">
      <c r="A2" t="s">
        <v>161</v>
      </c>
      <c r="B2" t="s">
        <v>162</v>
      </c>
    </row>
    <row r="3" spans="1:2" x14ac:dyDescent="0.25">
      <c r="A3" t="s">
        <v>45</v>
      </c>
    </row>
    <row r="4" spans="1:2" x14ac:dyDescent="0.25">
      <c r="A4" t="s">
        <v>46</v>
      </c>
    </row>
    <row r="5" spans="1:2" x14ac:dyDescent="0.25">
      <c r="A5" t="s">
        <v>47</v>
      </c>
    </row>
    <row r="6" spans="1:2" x14ac:dyDescent="0.25">
      <c r="A6" t="s">
        <v>48</v>
      </c>
    </row>
    <row r="7" spans="1:2" x14ac:dyDescent="0.25">
      <c r="A7" t="s">
        <v>49</v>
      </c>
    </row>
    <row r="8" spans="1:2" x14ac:dyDescent="0.25">
      <c r="A8" t="s">
        <v>50</v>
      </c>
    </row>
    <row r="9" spans="1:2" x14ac:dyDescent="0.25">
      <c r="A9" t="s">
        <v>51</v>
      </c>
    </row>
    <row r="10" spans="1:2" x14ac:dyDescent="0.25">
      <c r="A10" t="s">
        <v>52</v>
      </c>
    </row>
    <row r="11" spans="1:2" x14ac:dyDescent="0.25">
      <c r="A11" t="s">
        <v>53</v>
      </c>
    </row>
    <row r="12" spans="1:2" x14ac:dyDescent="0.25">
      <c r="A12" t="s">
        <v>54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E12"/>
  <sheetViews>
    <sheetView workbookViewId="0">
      <selection activeCell="B21" sqref="B21"/>
    </sheetView>
  </sheetViews>
  <sheetFormatPr defaultRowHeight="15" x14ac:dyDescent="0.25"/>
  <cols>
    <col min="1" max="1" width="14.5703125" bestFit="1" customWidth="1"/>
    <col min="2" max="2" width="22.85546875" bestFit="1" customWidth="1"/>
    <col min="3" max="3" width="22.140625" bestFit="1" customWidth="1"/>
    <col min="4" max="4" width="22.85546875" bestFit="1" customWidth="1"/>
    <col min="5" max="5" width="8.5703125" bestFit="1" customWidth="1"/>
  </cols>
  <sheetData>
    <row r="1" spans="1:5" s="1" customFormat="1" x14ac:dyDescent="0.25">
      <c r="A1" s="1" t="s">
        <v>11</v>
      </c>
      <c r="B1" s="1" t="s">
        <v>12</v>
      </c>
      <c r="C1" s="1" t="s">
        <v>13</v>
      </c>
      <c r="D1" s="1" t="s">
        <v>14</v>
      </c>
      <c r="E1" s="1" t="s">
        <v>5</v>
      </c>
    </row>
    <row r="2" spans="1:5" x14ac:dyDescent="0.25">
      <c r="A2" t="s">
        <v>160</v>
      </c>
      <c r="B2" t="s">
        <v>161</v>
      </c>
      <c r="C2" t="s">
        <v>150</v>
      </c>
      <c r="D2" t="s">
        <v>42</v>
      </c>
    </row>
    <row r="3" spans="1:5" x14ac:dyDescent="0.25">
      <c r="A3" t="s">
        <v>160</v>
      </c>
      <c r="B3" t="s">
        <v>45</v>
      </c>
      <c r="C3" t="s">
        <v>151</v>
      </c>
      <c r="D3" t="s">
        <v>6</v>
      </c>
    </row>
    <row r="4" spans="1:5" x14ac:dyDescent="0.25">
      <c r="A4" t="s">
        <v>160</v>
      </c>
      <c r="B4" t="s">
        <v>46</v>
      </c>
      <c r="C4" t="s">
        <v>151</v>
      </c>
      <c r="D4" t="s">
        <v>46</v>
      </c>
    </row>
    <row r="5" spans="1:5" x14ac:dyDescent="0.25">
      <c r="A5" t="s">
        <v>160</v>
      </c>
      <c r="B5" t="s">
        <v>47</v>
      </c>
      <c r="C5" t="s">
        <v>152</v>
      </c>
      <c r="D5" t="s">
        <v>6</v>
      </c>
    </row>
    <row r="6" spans="1:5" x14ac:dyDescent="0.25">
      <c r="A6" t="s">
        <v>160</v>
      </c>
      <c r="B6" t="s">
        <v>48</v>
      </c>
      <c r="C6" t="s">
        <v>152</v>
      </c>
      <c r="D6" t="s">
        <v>48</v>
      </c>
    </row>
    <row r="7" spans="1:5" x14ac:dyDescent="0.25">
      <c r="A7" t="s">
        <v>160</v>
      </c>
      <c r="B7" t="s">
        <v>49</v>
      </c>
      <c r="C7" t="s">
        <v>153</v>
      </c>
      <c r="D7" t="s">
        <v>6</v>
      </c>
    </row>
    <row r="8" spans="1:5" x14ac:dyDescent="0.25">
      <c r="A8" t="s">
        <v>160</v>
      </c>
      <c r="B8" t="s">
        <v>50</v>
      </c>
      <c r="C8" t="s">
        <v>153</v>
      </c>
      <c r="D8" t="s">
        <v>50</v>
      </c>
    </row>
    <row r="9" spans="1:5" x14ac:dyDescent="0.25">
      <c r="A9" t="s">
        <v>160</v>
      </c>
      <c r="B9" t="s">
        <v>51</v>
      </c>
      <c r="C9" t="s">
        <v>154</v>
      </c>
      <c r="D9" t="s">
        <v>51</v>
      </c>
    </row>
    <row r="10" spans="1:5" x14ac:dyDescent="0.25">
      <c r="A10" t="s">
        <v>160</v>
      </c>
      <c r="B10" t="s">
        <v>52</v>
      </c>
      <c r="C10" t="s">
        <v>154</v>
      </c>
      <c r="D10" t="s">
        <v>52</v>
      </c>
    </row>
    <row r="11" spans="1:5" x14ac:dyDescent="0.25">
      <c r="A11" t="s">
        <v>160</v>
      </c>
      <c r="B11" t="s">
        <v>53</v>
      </c>
      <c r="C11" t="s">
        <v>154</v>
      </c>
      <c r="D11" t="s">
        <v>53</v>
      </c>
    </row>
    <row r="12" spans="1:5" x14ac:dyDescent="0.25">
      <c r="A12" t="s">
        <v>160</v>
      </c>
      <c r="B12" t="s">
        <v>54</v>
      </c>
      <c r="C12" t="s">
        <v>150</v>
      </c>
      <c r="D12" t="s">
        <v>54</v>
      </c>
    </row>
  </sheetData>
  <autoFilter ref="A1:E12" xr:uid="{4963E330-6EE6-4F8F-9C1A-E547D41598CF}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G7"/>
  <sheetViews>
    <sheetView workbookViewId="0">
      <selection activeCell="D14" sqref="D14"/>
    </sheetView>
  </sheetViews>
  <sheetFormatPr defaultRowHeight="15" x14ac:dyDescent="0.25"/>
  <cols>
    <col min="1" max="1" width="25.5703125" customWidth="1"/>
    <col min="2" max="2" width="29.85546875" bestFit="1" customWidth="1"/>
    <col min="3" max="3" width="22.85546875" bestFit="1" customWidth="1"/>
    <col min="4" max="4" width="28.5703125" bestFit="1" customWidth="1"/>
    <col min="5" max="5" width="21.5703125" bestFit="1" customWidth="1"/>
    <col min="6" max="6" width="23.28515625" bestFit="1" customWidth="1"/>
    <col min="7" max="7" width="18.5703125" bestFit="1" customWidth="1"/>
  </cols>
  <sheetData>
    <row r="1" spans="1:7" x14ac:dyDescent="0.25">
      <c r="A1" s="1" t="s">
        <v>158</v>
      </c>
      <c r="B1" s="1"/>
      <c r="C1" s="1"/>
      <c r="D1" s="1"/>
      <c r="E1" s="1"/>
    </row>
    <row r="2" spans="1:7" x14ac:dyDescent="0.25">
      <c r="A2" s="1" t="s">
        <v>16</v>
      </c>
      <c r="B2" s="1" t="s">
        <v>167</v>
      </c>
      <c r="C2" s="1" t="s">
        <v>164</v>
      </c>
      <c r="D2" s="1" t="s">
        <v>168</v>
      </c>
      <c r="E2" s="1" t="s">
        <v>159</v>
      </c>
      <c r="F2" s="1" t="s">
        <v>170</v>
      </c>
      <c r="G2" s="1" t="s">
        <v>171</v>
      </c>
    </row>
    <row r="3" spans="1:7" x14ac:dyDescent="0.25">
      <c r="A3" t="s">
        <v>151</v>
      </c>
      <c r="B3" t="str">
        <f>SUBSTITUTE(A3,"Dim","")&amp;"CK"</f>
        <v>OrganizationCK</v>
      </c>
      <c r="C3" t="s">
        <v>151</v>
      </c>
      <c r="D3" t="str">
        <f>SUBSTITUTE(C3,"Dim","")&amp;"CK"</f>
        <v>OrganizationCK</v>
      </c>
      <c r="E3" t="s">
        <v>6</v>
      </c>
      <c r="F3" t="str">
        <f>IF(E3="SourceSystemKey","NVARCHAR(50)","VARBINARY(16)")</f>
        <v>NVARCHAR(50)</v>
      </c>
      <c r="G3">
        <f>ROW(A3)</f>
        <v>3</v>
      </c>
    </row>
    <row r="4" spans="1:7" x14ac:dyDescent="0.25">
      <c r="A4" t="s">
        <v>152</v>
      </c>
      <c r="B4" t="str">
        <f t="shared" ref="B4:B7" si="0">SUBSTITUTE(A4,"Dim","")&amp;"CK"</f>
        <v>DepartmentCK</v>
      </c>
      <c r="C4" t="s">
        <v>152</v>
      </c>
      <c r="D4" t="str">
        <f t="shared" ref="D4:D7" si="1">SUBSTITUTE(C4,"Dim","")&amp;"CK"</f>
        <v>DepartmentCK</v>
      </c>
      <c r="E4" t="s">
        <v>6</v>
      </c>
      <c r="F4" t="str">
        <f t="shared" ref="F4:F7" si="2">IF(E4="SourceSystemKey","NVARCHAR(50)","VARBINARY(16)")</f>
        <v>NVARCHAR(50)</v>
      </c>
      <c r="G4">
        <f t="shared" ref="G4:G7" si="3">ROW(A4)</f>
        <v>4</v>
      </c>
    </row>
    <row r="5" spans="1:7" x14ac:dyDescent="0.25">
      <c r="A5" t="s">
        <v>153</v>
      </c>
      <c r="B5" t="str">
        <f t="shared" si="0"/>
        <v>ScenarioCK</v>
      </c>
      <c r="C5" t="s">
        <v>155</v>
      </c>
      <c r="D5" t="str">
        <f t="shared" si="1"/>
        <v>Scenario CK</v>
      </c>
      <c r="E5" t="s">
        <v>6</v>
      </c>
      <c r="F5" t="str">
        <f t="shared" si="2"/>
        <v>NVARCHAR(50)</v>
      </c>
      <c r="G5">
        <f t="shared" si="3"/>
        <v>5</v>
      </c>
    </row>
    <row r="6" spans="1:7" x14ac:dyDescent="0.25">
      <c r="A6" t="s">
        <v>154</v>
      </c>
      <c r="B6" t="str">
        <f t="shared" si="0"/>
        <v>AccountCK</v>
      </c>
      <c r="C6" t="s">
        <v>154</v>
      </c>
      <c r="D6" t="str">
        <f t="shared" si="1"/>
        <v>AccountCK</v>
      </c>
      <c r="E6" t="s">
        <v>10</v>
      </c>
      <c r="F6" t="str">
        <f t="shared" si="2"/>
        <v>VARBINARY(16)</v>
      </c>
      <c r="G6">
        <f t="shared" si="3"/>
        <v>6</v>
      </c>
    </row>
    <row r="7" spans="1:7" x14ac:dyDescent="0.25">
      <c r="A7" t="s">
        <v>41</v>
      </c>
      <c r="B7" t="str">
        <f t="shared" si="0"/>
        <v>DateCK</v>
      </c>
      <c r="C7" t="s">
        <v>165</v>
      </c>
      <c r="D7" t="str">
        <f t="shared" si="1"/>
        <v>TransactionDateCK</v>
      </c>
      <c r="E7" t="s">
        <v>6</v>
      </c>
      <c r="F7" t="str">
        <f t="shared" si="2"/>
        <v>NVARCHAR(50)</v>
      </c>
      <c r="G7">
        <f t="shared" si="3"/>
        <v>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I28"/>
  <sheetViews>
    <sheetView workbookViewId="0">
      <selection activeCell="B14" sqref="B14"/>
    </sheetView>
  </sheetViews>
  <sheetFormatPr defaultRowHeight="15" x14ac:dyDescent="0.25"/>
  <cols>
    <col min="1" max="1" width="30.28515625" bestFit="1" customWidth="1"/>
    <col min="2" max="2" width="28.85546875" bestFit="1" customWidth="1"/>
    <col min="4" max="4" width="10.28515625" bestFit="1" customWidth="1"/>
    <col min="5" max="5" width="45.5703125" bestFit="1" customWidth="1"/>
    <col min="6" max="6" width="23.5703125" bestFit="1" customWidth="1"/>
    <col min="7" max="7" width="28.85546875" bestFit="1" customWidth="1"/>
    <col min="8" max="8" width="2.28515625" bestFit="1" customWidth="1"/>
    <col min="9" max="9" width="39" bestFit="1" customWidth="1"/>
  </cols>
  <sheetData>
    <row r="1" spans="1:9" x14ac:dyDescent="0.25">
      <c r="A1" t="s">
        <v>169</v>
      </c>
    </row>
    <row r="2" spans="1:9" x14ac:dyDescent="0.25">
      <c r="A2" s="1" t="s">
        <v>24</v>
      </c>
      <c r="B2" s="1" t="s">
        <v>25</v>
      </c>
      <c r="E2" s="1" t="s">
        <v>31</v>
      </c>
      <c r="I2" t="s">
        <v>30</v>
      </c>
    </row>
    <row r="3" spans="1:9" x14ac:dyDescent="0.25">
      <c r="A3" t="str">
        <f>'Dimension List'!A3</f>
        <v>DimOrganization</v>
      </c>
      <c r="B3" t="str">
        <f>VLOOKUP(A3,'Dimension List'!A:D,4,FALSE)</f>
        <v>OrganizationCK</v>
      </c>
      <c r="C3" t="s">
        <v>26</v>
      </c>
      <c r="D3" t="s">
        <v>27</v>
      </c>
      <c r="E3" t="str">
        <f>B3&amp;" "&amp;C3&amp;" "&amp;D3</f>
        <v>OrganizationCK BIGINT NOT NULL,</v>
      </c>
      <c r="F3" t="s">
        <v>28</v>
      </c>
      <c r="G3" t="str">
        <f>B3</f>
        <v>OrganizationCK</v>
      </c>
      <c r="H3" t="s">
        <v>29</v>
      </c>
      <c r="I3" t="str">
        <f>F3&amp;G3&amp;H3</f>
        <v>CONVERT([nvarchar](35),OrganizationCK),</v>
      </c>
    </row>
    <row r="4" spans="1:9" x14ac:dyDescent="0.25">
      <c r="A4" t="str">
        <f>'Dimension List'!A4</f>
        <v>DimDepartment</v>
      </c>
      <c r="B4" t="str">
        <f>VLOOKUP(A4,'Dimension List'!A:D,4,FALSE)</f>
        <v>DepartmentCK</v>
      </c>
      <c r="C4" t="s">
        <v>26</v>
      </c>
      <c r="D4" t="s">
        <v>27</v>
      </c>
      <c r="E4" t="str">
        <f t="shared" ref="E4:E7" si="0">B4&amp;" "&amp;C4&amp;" "&amp;D4</f>
        <v>DepartmentCK BIGINT NOT NULL,</v>
      </c>
      <c r="F4" t="s">
        <v>28</v>
      </c>
      <c r="G4" t="str">
        <f t="shared" ref="G4:G7" si="1">B4</f>
        <v>DepartmentCK</v>
      </c>
      <c r="H4" t="s">
        <v>29</v>
      </c>
      <c r="I4" t="str">
        <f t="shared" ref="I4:I7" si="2">F4&amp;G4&amp;H4</f>
        <v>CONVERT([nvarchar](35),DepartmentCK),</v>
      </c>
    </row>
    <row r="5" spans="1:9" x14ac:dyDescent="0.25">
      <c r="A5" t="str">
        <f>'Dimension List'!A5</f>
        <v>DimScenario</v>
      </c>
      <c r="B5" t="str">
        <f>VLOOKUP(A5,'Dimension List'!A:D,4,FALSE)</f>
        <v>Scenario CK</v>
      </c>
      <c r="C5" t="s">
        <v>26</v>
      </c>
      <c r="D5" t="s">
        <v>27</v>
      </c>
      <c r="E5" t="str">
        <f t="shared" si="0"/>
        <v>Scenario CK BIGINT NOT NULL,</v>
      </c>
      <c r="F5" t="s">
        <v>28</v>
      </c>
      <c r="G5" t="str">
        <f t="shared" si="1"/>
        <v>Scenario CK</v>
      </c>
      <c r="H5" t="s">
        <v>29</v>
      </c>
      <c r="I5" t="str">
        <f t="shared" si="2"/>
        <v>CONVERT([nvarchar](35),Scenario CK),</v>
      </c>
    </row>
    <row r="6" spans="1:9" x14ac:dyDescent="0.25">
      <c r="A6" t="str">
        <f>'Dimension List'!A6</f>
        <v>DimAccount</v>
      </c>
      <c r="B6" t="str">
        <f>VLOOKUP(A6,'Dimension List'!A:D,4,FALSE)</f>
        <v>AccountCK</v>
      </c>
      <c r="C6" t="s">
        <v>26</v>
      </c>
      <c r="D6" t="s">
        <v>27</v>
      </c>
      <c r="E6" t="str">
        <f t="shared" si="0"/>
        <v>AccountCK BIGINT NOT NULL,</v>
      </c>
      <c r="F6" t="s">
        <v>28</v>
      </c>
      <c r="G6" t="str">
        <f t="shared" si="1"/>
        <v>AccountCK</v>
      </c>
      <c r="H6" t="s">
        <v>29</v>
      </c>
      <c r="I6" t="str">
        <f t="shared" si="2"/>
        <v>CONVERT([nvarchar](35),AccountCK),</v>
      </c>
    </row>
    <row r="7" spans="1:9" x14ac:dyDescent="0.25">
      <c r="A7" t="str">
        <f>'Dimension List'!A7</f>
        <v>DimDate</v>
      </c>
      <c r="B7" t="str">
        <f>VLOOKUP(A7,'Dimension List'!A:D,4,FALSE)</f>
        <v>TransactionDateCK</v>
      </c>
      <c r="C7" t="s">
        <v>26</v>
      </c>
      <c r="D7" t="s">
        <v>27</v>
      </c>
      <c r="E7" t="str">
        <f t="shared" si="0"/>
        <v>TransactionDateCK BIGINT NOT NULL,</v>
      </c>
      <c r="F7" t="s">
        <v>28</v>
      </c>
      <c r="G7" t="str">
        <f t="shared" si="1"/>
        <v>TransactionDateCK</v>
      </c>
      <c r="H7" t="s">
        <v>29</v>
      </c>
      <c r="I7" t="str">
        <f t="shared" si="2"/>
        <v>CONVERT([nvarchar](35),TransactionDateCK),</v>
      </c>
    </row>
    <row r="28" spans="1:1" x14ac:dyDescent="0.25">
      <c r="A28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I12"/>
  <sheetViews>
    <sheetView workbookViewId="0">
      <selection activeCell="D18" sqref="D18"/>
    </sheetView>
  </sheetViews>
  <sheetFormatPr defaultRowHeight="15" x14ac:dyDescent="0.25"/>
  <cols>
    <col min="2" max="2" width="24.7109375" customWidth="1"/>
    <col min="3" max="5" width="33.5703125" bestFit="1" customWidth="1"/>
    <col min="6" max="6" width="33.5703125" customWidth="1"/>
    <col min="7" max="7" width="156.28515625" bestFit="1" customWidth="1"/>
    <col min="8" max="8" width="87.42578125" bestFit="1" customWidth="1"/>
    <col min="9" max="9" width="155.85546875" bestFit="1" customWidth="1"/>
  </cols>
  <sheetData>
    <row r="1" spans="1:9" x14ac:dyDescent="0.25">
      <c r="A1" s="1" t="s">
        <v>23</v>
      </c>
    </row>
    <row r="2" spans="1:9" x14ac:dyDescent="0.25">
      <c r="A2" s="1" t="s">
        <v>43</v>
      </c>
      <c r="B2" s="1" t="s">
        <v>39</v>
      </c>
      <c r="C2" s="1" t="s">
        <v>15</v>
      </c>
      <c r="D2" s="1" t="s">
        <v>16</v>
      </c>
      <c r="E2" s="1" t="s">
        <v>17</v>
      </c>
      <c r="F2" s="1" t="s">
        <v>18</v>
      </c>
      <c r="G2" s="1" t="s">
        <v>19</v>
      </c>
      <c r="H2" s="1" t="s">
        <v>20</v>
      </c>
      <c r="I2" s="1" t="s">
        <v>21</v>
      </c>
    </row>
    <row r="3" spans="1:9" ht="12" customHeight="1" x14ac:dyDescent="0.25">
      <c r="A3" t="s">
        <v>166</v>
      </c>
      <c r="B3" t="s">
        <v>150</v>
      </c>
      <c r="C3" t="str">
        <f>'Dimension List'!C3</f>
        <v>DimOrganization</v>
      </c>
      <c r="D3" t="str">
        <f>'Dimension List'!A3</f>
        <v>DimOrganization</v>
      </c>
      <c r="E3" t="str">
        <f>VLOOKUP(C3,'Dimension List'!C:D,2,FALSE)</f>
        <v>OrganizationCK</v>
      </c>
      <c r="F3" t="str">
        <f>VLOOKUP(D3,'Dimension List'!A:B,2,FALSE)</f>
        <v>OrganizationCK</v>
      </c>
      <c r="G3" t="str">
        <f>"ALTER TABLE ["&amp;A3&amp;"].["&amp;B3&amp;"]  WITH CHECK ADD CONSTRAINT [FK_"&amp;B3&amp;"_"&amp;C3&amp;"] FOREIGN KEY(["&amp;E3&amp;"])"</f>
        <v>ALTER TABLE [dbo].[FactRevenue]  WITH CHECK ADD CONSTRAINT [FK_FactRevenue_DimOrganization] FOREIGN KEY([OrganizationCK])</v>
      </c>
      <c r="H3" t="str">
        <f>"REFERENCES ["&amp;A3&amp;"].["&amp;D3&amp;"] (["&amp;F3&amp;"])"</f>
        <v>REFERENCES [dbo].[DimOrganization] ([OrganizationCK])</v>
      </c>
      <c r="I3" t="str">
        <f t="shared" ref="I3" si="0">G3&amp;" "&amp;H3</f>
        <v>ALTER TABLE [dbo].[FactRevenue]  WITH CHECK ADD CONSTRAINT [FK_FactRevenue_DimOrganization] FOREIGN KEY([OrganizationCK]) REFERENCES [dbo].[DimOrganization] ([OrganizationCK])</v>
      </c>
    </row>
    <row r="4" spans="1:9" x14ac:dyDescent="0.25">
      <c r="A4" t="s">
        <v>166</v>
      </c>
      <c r="B4" t="s">
        <v>150</v>
      </c>
      <c r="C4" t="str">
        <f>'Dimension List'!C4</f>
        <v>DimDepartment</v>
      </c>
      <c r="D4" t="str">
        <f>'Dimension List'!A4</f>
        <v>DimDepartment</v>
      </c>
      <c r="E4" t="str">
        <f>VLOOKUP(C4,'Dimension List'!C:D,2,FALSE)</f>
        <v>DepartmentCK</v>
      </c>
      <c r="F4" t="str">
        <f>VLOOKUP(D4,'Dimension List'!A:B,2,FALSE)</f>
        <v>DepartmentCK</v>
      </c>
      <c r="G4" t="str">
        <f t="shared" ref="G4:G7" si="1">"ALTER TABLE ["&amp;A4&amp;"].["&amp;B4&amp;"]  WITH CHECK ADD CONSTRAINT [FK_"&amp;B4&amp;"_"&amp;C4&amp;"] FOREIGN KEY(["&amp;E4&amp;"])"</f>
        <v>ALTER TABLE [dbo].[FactRevenue]  WITH CHECK ADD CONSTRAINT [FK_FactRevenue_DimDepartment] FOREIGN KEY([DepartmentCK])</v>
      </c>
      <c r="H4" t="str">
        <f t="shared" ref="H4:H7" si="2">"REFERENCES ["&amp;A4&amp;"].["&amp;D4&amp;"] (["&amp;F4&amp;"])"</f>
        <v>REFERENCES [dbo].[DimDepartment] ([DepartmentCK])</v>
      </c>
      <c r="I4" t="str">
        <f t="shared" ref="I4:I7" si="3">G4&amp;" "&amp;H4</f>
        <v>ALTER TABLE [dbo].[FactRevenue]  WITH CHECK ADD CONSTRAINT [FK_FactRevenue_DimDepartment] FOREIGN KEY([DepartmentCK]) REFERENCES [dbo].[DimDepartment] ([DepartmentCK])</v>
      </c>
    </row>
    <row r="5" spans="1:9" x14ac:dyDescent="0.25">
      <c r="A5" t="s">
        <v>166</v>
      </c>
      <c r="B5" t="s">
        <v>150</v>
      </c>
      <c r="C5" t="str">
        <f>'Dimension List'!C5</f>
        <v xml:space="preserve">DimScenario </v>
      </c>
      <c r="D5" t="str">
        <f>'Dimension List'!A5</f>
        <v>DimScenario</v>
      </c>
      <c r="E5" t="str">
        <f>VLOOKUP(C5,'Dimension List'!C:D,2,FALSE)</f>
        <v>Scenario CK</v>
      </c>
      <c r="F5" t="str">
        <f>VLOOKUP(D5,'Dimension List'!A:B,2,FALSE)</f>
        <v>ScenarioCK</v>
      </c>
      <c r="G5" t="str">
        <f t="shared" si="1"/>
        <v>ALTER TABLE [dbo].[FactRevenue]  WITH CHECK ADD CONSTRAINT [FK_FactRevenue_DimScenario ] FOREIGN KEY([Scenario CK])</v>
      </c>
      <c r="H5" t="str">
        <f t="shared" si="2"/>
        <v>REFERENCES [dbo].[DimScenario] ([ScenarioCK])</v>
      </c>
      <c r="I5" t="str">
        <f t="shared" si="3"/>
        <v>ALTER TABLE [dbo].[FactRevenue]  WITH CHECK ADD CONSTRAINT [FK_FactRevenue_DimScenario ] FOREIGN KEY([Scenario CK]) REFERENCES [dbo].[DimScenario] ([ScenarioCK])</v>
      </c>
    </row>
    <row r="6" spans="1:9" x14ac:dyDescent="0.25">
      <c r="A6" t="s">
        <v>166</v>
      </c>
      <c r="B6" t="s">
        <v>150</v>
      </c>
      <c r="C6" t="str">
        <f>'Dimension List'!C6</f>
        <v>DimAccount</v>
      </c>
      <c r="D6" t="str">
        <f>'Dimension List'!A6</f>
        <v>DimAccount</v>
      </c>
      <c r="E6" t="str">
        <f>VLOOKUP(C6,'Dimension List'!C:D,2,FALSE)</f>
        <v>AccountCK</v>
      </c>
      <c r="F6" t="str">
        <f>VLOOKUP(D6,'Dimension List'!A:B,2,FALSE)</f>
        <v>AccountCK</v>
      </c>
      <c r="G6" t="str">
        <f t="shared" si="1"/>
        <v>ALTER TABLE [dbo].[FactRevenue]  WITH CHECK ADD CONSTRAINT [FK_FactRevenue_DimAccount] FOREIGN KEY([AccountCK])</v>
      </c>
      <c r="H6" t="str">
        <f t="shared" si="2"/>
        <v>REFERENCES [dbo].[DimAccount] ([AccountCK])</v>
      </c>
      <c r="I6" t="str">
        <f t="shared" si="3"/>
        <v>ALTER TABLE [dbo].[FactRevenue]  WITH CHECK ADD CONSTRAINT [FK_FactRevenue_DimAccount] FOREIGN KEY([AccountCK]) REFERENCES [dbo].[DimAccount] ([AccountCK])</v>
      </c>
    </row>
    <row r="7" spans="1:9" x14ac:dyDescent="0.25">
      <c r="A7" t="s">
        <v>166</v>
      </c>
      <c r="B7" t="s">
        <v>150</v>
      </c>
      <c r="C7" t="str">
        <f>'Dimension List'!C7</f>
        <v>DimTransactionDate</v>
      </c>
      <c r="D7" t="str">
        <f>'Dimension List'!A7</f>
        <v>DimDate</v>
      </c>
      <c r="E7" t="str">
        <f>VLOOKUP(C7,'Dimension List'!C:D,2,FALSE)</f>
        <v>TransactionDateCK</v>
      </c>
      <c r="F7" t="str">
        <f>VLOOKUP(D7,'Dimension List'!A:B,2,FALSE)</f>
        <v>DateCK</v>
      </c>
      <c r="G7" t="str">
        <f t="shared" si="1"/>
        <v>ALTER TABLE [dbo].[FactRevenue]  WITH CHECK ADD CONSTRAINT [FK_FactRevenue_DimTransactionDate] FOREIGN KEY([TransactionDateCK])</v>
      </c>
      <c r="H7" t="str">
        <f t="shared" si="2"/>
        <v>REFERENCES [dbo].[DimDate] ([DateCK])</v>
      </c>
      <c r="I7" t="str">
        <f t="shared" si="3"/>
        <v>ALTER TABLE [dbo].[FactRevenue]  WITH CHECK ADD CONSTRAINT [FK_FactRevenue_DimTransactionDate] FOREIGN KEY([TransactionDateCK]) REFERENCES [dbo].[DimDate] ([DateCK])</v>
      </c>
    </row>
    <row r="12" spans="1:9" x14ac:dyDescent="0.25">
      <c r="G12" t="s">
        <v>22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6"/>
  <sheetViews>
    <sheetView workbookViewId="0">
      <selection activeCell="A6" sqref="A6"/>
    </sheetView>
  </sheetViews>
  <sheetFormatPr defaultRowHeight="15" x14ac:dyDescent="0.25"/>
  <cols>
    <col min="1" max="1" width="33.5703125" bestFit="1" customWidth="1"/>
    <col min="2" max="4" width="33.5703125" customWidth="1"/>
    <col min="5" max="5" width="114.7109375" bestFit="1" customWidth="1"/>
    <col min="6" max="6" width="101.140625" bestFit="1" customWidth="1"/>
    <col min="7" max="7" width="112.5703125" bestFit="1" customWidth="1"/>
    <col min="8" max="8" width="85.85546875" bestFit="1" customWidth="1"/>
    <col min="9" max="9" width="28.5703125" bestFit="1" customWidth="1"/>
  </cols>
  <sheetData>
    <row r="1" spans="1:9" x14ac:dyDescent="0.25">
      <c r="A1" s="1" t="s">
        <v>173</v>
      </c>
    </row>
    <row r="2" spans="1:9" x14ac:dyDescent="0.25">
      <c r="A2" s="1" t="s">
        <v>172</v>
      </c>
      <c r="B2" s="1" t="s">
        <v>159</v>
      </c>
      <c r="C2" s="1" t="s">
        <v>170</v>
      </c>
      <c r="D2" s="1" t="s">
        <v>171</v>
      </c>
      <c r="E2" s="1" t="s">
        <v>174</v>
      </c>
      <c r="F2" s="1" t="s">
        <v>175</v>
      </c>
      <c r="G2" s="1" t="s">
        <v>176</v>
      </c>
      <c r="H2" s="1" t="s">
        <v>177</v>
      </c>
      <c r="I2" s="1" t="s">
        <v>178</v>
      </c>
    </row>
    <row r="3" spans="1:9" x14ac:dyDescent="0.25">
      <c r="A3" t="str">
        <f>'Dimension List'!A3</f>
        <v>DimOrganization</v>
      </c>
      <c r="B3" t="str">
        <f>'Dimension List'!E3</f>
        <v>SourceSystemKey</v>
      </c>
      <c r="C3" t="str">
        <f>'Dimension List'!F3</f>
        <v>NVARCHAR(50)</v>
      </c>
      <c r="D3">
        <f>'Dimension List'!G3</f>
        <v>3</v>
      </c>
      <c r="E3" t="str">
        <f>"IF OBJECT_ID('tempdb..#"&amp;A3&amp;"') IS NOT NULL DROP TABLE #"&amp;A3</f>
        <v>IF OBJECT_ID('tempdb..#DimOrganization') IS NOT NULL DROP TABLE #DimOrganization</v>
      </c>
      <c r="F3" t="str">
        <f>"CREATE TABLE #"&amp;A3&amp;"(DimCK BIGINT, "&amp;B3&amp;" "&amp;C3&amp;", ETLKey UNIQUEIDENTIFIER)"</f>
        <v>CREATE TABLE #DimOrganization(DimCK BIGINT, SourceSystemKey NVARCHAR(50), ETLKey UNIQUEIDENTIFIER)</v>
      </c>
      <c r="G3" t="str">
        <f>"CREATE CLUSTERED INDEX CIDX_"&amp;D3&amp;"_ETLKey ON #"&amp;A3&amp;"(ETLKey)"</f>
        <v>CREATE CLUSTERED INDEX CIDX_3_ETLKey ON #DimOrganization(ETLKey)</v>
      </c>
      <c r="H3" t="str">
        <f>"CREATE NONCLUSTERED INDEX NCIDX_DIM"&amp;D3&amp;"_ETLKey ON #"&amp;A3&amp;"("&amp;B3&amp;")"</f>
        <v>CREATE NONCLUSTERED INDEX NCIDX_DIM3_ETLKey ON #DimOrganization(SourceSystemKey)</v>
      </c>
      <c r="I3" t="str">
        <f>"DROP TABLE #"&amp;A3</f>
        <v>DROP TABLE #DimOrganization</v>
      </c>
    </row>
    <row r="4" spans="1:9" x14ac:dyDescent="0.25">
      <c r="A4" t="str">
        <f>'Dimension List'!A4</f>
        <v>DimDepartment</v>
      </c>
      <c r="B4" t="str">
        <f>'Dimension List'!E4</f>
        <v>SourceSystemKey</v>
      </c>
      <c r="C4" t="str">
        <f>'Dimension List'!F4</f>
        <v>NVARCHAR(50)</v>
      </c>
      <c r="D4">
        <f>'Dimension List'!G4</f>
        <v>4</v>
      </c>
      <c r="E4" t="str">
        <f t="shared" ref="E4:E6" si="0">"IF OBJECT_ID('tempdb..#"&amp;A4&amp;"') IS NOT NULL DROP TABLE #"&amp;A4</f>
        <v>IF OBJECT_ID('tempdb..#DimDepartment') IS NOT NULL DROP TABLE #DimDepartment</v>
      </c>
      <c r="F4" t="str">
        <f t="shared" ref="F4:F6" si="1">"CREATE TABLE #"&amp;A4&amp;"(DimCK BIGINT, "&amp;B4&amp;" "&amp;C4&amp;", ETLKey UNIQUEIDENTIFIER)"</f>
        <v>CREATE TABLE #DimDepartment(DimCK BIGINT, SourceSystemKey NVARCHAR(50), ETLKey UNIQUEIDENTIFIER)</v>
      </c>
      <c r="G4" t="str">
        <f t="shared" ref="G4:G6" si="2">"CREATE CLUSTERED INDEX CIDX_"&amp;D4&amp;"_ETLKey ON #"&amp;A4&amp;"(ETLKey)"</f>
        <v>CREATE CLUSTERED INDEX CIDX_4_ETLKey ON #DimDepartment(ETLKey)</v>
      </c>
      <c r="H4" t="str">
        <f t="shared" ref="H4:H6" si="3">"CREATE NONCLUSTERED INDEX NCIDX_DIM"&amp;D4&amp;"_ETLKey ON #"&amp;A4&amp;"("&amp;B4&amp;")"</f>
        <v>CREATE NONCLUSTERED INDEX NCIDX_DIM4_ETLKey ON #DimDepartment(SourceSystemKey)</v>
      </c>
      <c r="I4" t="str">
        <f t="shared" ref="I4:I6" si="4">"DROP TABLE #"&amp;A4</f>
        <v>DROP TABLE #DimDepartment</v>
      </c>
    </row>
    <row r="5" spans="1:9" x14ac:dyDescent="0.25">
      <c r="A5" t="str">
        <f>'Dimension List'!A5</f>
        <v>DimScenario</v>
      </c>
      <c r="B5" t="str">
        <f>'Dimension List'!E5</f>
        <v>SourceSystemKey</v>
      </c>
      <c r="C5" t="str">
        <f>'Dimension List'!F5</f>
        <v>NVARCHAR(50)</v>
      </c>
      <c r="D5">
        <f>'Dimension List'!G5</f>
        <v>5</v>
      </c>
      <c r="E5" t="str">
        <f t="shared" si="0"/>
        <v>IF OBJECT_ID('tempdb..#DimScenario') IS NOT NULL DROP TABLE #DimScenario</v>
      </c>
      <c r="F5" t="str">
        <f t="shared" si="1"/>
        <v>CREATE TABLE #DimScenario(DimCK BIGINT, SourceSystemKey NVARCHAR(50), ETLKey UNIQUEIDENTIFIER)</v>
      </c>
      <c r="G5" t="str">
        <f t="shared" si="2"/>
        <v>CREATE CLUSTERED INDEX CIDX_5_ETLKey ON #DimScenario(ETLKey)</v>
      </c>
      <c r="H5" t="str">
        <f t="shared" si="3"/>
        <v>CREATE NONCLUSTERED INDEX NCIDX_DIM5_ETLKey ON #DimScenario(SourceSystemKey)</v>
      </c>
      <c r="I5" t="str">
        <f t="shared" si="4"/>
        <v>DROP TABLE #DimScenario</v>
      </c>
    </row>
    <row r="6" spans="1:9" x14ac:dyDescent="0.25">
      <c r="A6" t="str">
        <f>'Dimension List'!A6</f>
        <v>DimAccount</v>
      </c>
      <c r="B6" t="str">
        <f>'Dimension List'!E6</f>
        <v>RowHash</v>
      </c>
      <c r="C6" t="str">
        <f>'Dimension List'!F6</f>
        <v>VARBINARY(16)</v>
      </c>
      <c r="D6">
        <f>'Dimension List'!G6</f>
        <v>6</v>
      </c>
      <c r="E6" t="str">
        <f t="shared" si="0"/>
        <v>IF OBJECT_ID('tempdb..#DimAccount') IS NOT NULL DROP TABLE #DimAccount</v>
      </c>
      <c r="F6" t="str">
        <f t="shared" si="1"/>
        <v>CREATE TABLE #DimAccount(DimCK BIGINT, RowHash VARBINARY(16), ETLKey UNIQUEIDENTIFIER)</v>
      </c>
      <c r="G6" t="str">
        <f t="shared" si="2"/>
        <v>CREATE CLUSTERED INDEX CIDX_6_ETLKey ON #DimAccount(ETLKey)</v>
      </c>
      <c r="H6" t="str">
        <f t="shared" si="3"/>
        <v>CREATE NONCLUSTERED INDEX NCIDX_DIM6_ETLKey ON #DimAccount(RowHash)</v>
      </c>
      <c r="I6" t="str">
        <f t="shared" si="4"/>
        <v>DROP TABLE #DimAccount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4EA85-24B1-4965-8DF0-3FC8DC602AB3}">
  <dimension ref="A1:C31"/>
  <sheetViews>
    <sheetView workbookViewId="0">
      <selection activeCell="C3" sqref="C3:C31"/>
    </sheetView>
  </sheetViews>
  <sheetFormatPr defaultRowHeight="15" x14ac:dyDescent="0.25"/>
  <cols>
    <col min="1" max="1" width="27" bestFit="1" customWidth="1"/>
    <col min="2" max="2" width="31.5703125" bestFit="1" customWidth="1"/>
    <col min="3" max="3" width="51.7109375" bestFit="1" customWidth="1"/>
  </cols>
  <sheetData>
    <row r="1" spans="1:3" x14ac:dyDescent="0.25">
      <c r="A1" s="1" t="s">
        <v>181</v>
      </c>
      <c r="B1" s="1" t="s">
        <v>210</v>
      </c>
    </row>
    <row r="2" spans="1:3" x14ac:dyDescent="0.25">
      <c r="A2" s="1" t="s">
        <v>179</v>
      </c>
      <c r="B2" s="1" t="s">
        <v>180</v>
      </c>
      <c r="C2" s="1" t="s">
        <v>211</v>
      </c>
    </row>
    <row r="3" spans="1:3" x14ac:dyDescent="0.25">
      <c r="A3" t="s">
        <v>182</v>
      </c>
      <c r="B3" t="str">
        <f>AddSpaces(A3)</f>
        <v>Customer Key</v>
      </c>
      <c r="C3" t="str">
        <f>A3&amp;" AS ["&amp;B3&amp;"],"</f>
        <v>CustomerKey AS [Customer Key],</v>
      </c>
    </row>
    <row r="4" spans="1:3" x14ac:dyDescent="0.25">
      <c r="A4" t="s">
        <v>183</v>
      </c>
      <c r="B4" t="str">
        <f t="shared" ref="B4:B31" si="0">AddSpaces(A4)</f>
        <v>Geography Key</v>
      </c>
      <c r="C4" t="str">
        <f t="shared" ref="C4:C31" si="1">A4&amp;" AS ["&amp;B4&amp;"],"</f>
        <v>GeographyKey AS [Geography Key],</v>
      </c>
    </row>
    <row r="5" spans="1:3" x14ac:dyDescent="0.25">
      <c r="A5" t="s">
        <v>184</v>
      </c>
      <c r="B5" t="str">
        <f t="shared" si="0"/>
        <v>Customer Alternate Key</v>
      </c>
      <c r="C5" t="str">
        <f t="shared" si="1"/>
        <v>CustomerAlternateKey AS [Customer Alternate Key],</v>
      </c>
    </row>
    <row r="6" spans="1:3" x14ac:dyDescent="0.25">
      <c r="A6" t="s">
        <v>185</v>
      </c>
      <c r="B6" t="str">
        <f t="shared" si="0"/>
        <v>Title</v>
      </c>
      <c r="C6" t="str">
        <f t="shared" si="1"/>
        <v>Title AS [Title],</v>
      </c>
    </row>
    <row r="7" spans="1:3" x14ac:dyDescent="0.25">
      <c r="A7" t="s">
        <v>186</v>
      </c>
      <c r="B7" t="str">
        <f t="shared" si="0"/>
        <v>First Name</v>
      </c>
      <c r="C7" t="str">
        <f t="shared" si="1"/>
        <v>FirstName AS [First Name],</v>
      </c>
    </row>
    <row r="8" spans="1:3" x14ac:dyDescent="0.25">
      <c r="A8" t="s">
        <v>187</v>
      </c>
      <c r="B8" t="str">
        <f t="shared" si="0"/>
        <v>Middle Name</v>
      </c>
      <c r="C8" t="str">
        <f t="shared" si="1"/>
        <v>MiddleName AS [Middle Name],</v>
      </c>
    </row>
    <row r="9" spans="1:3" x14ac:dyDescent="0.25">
      <c r="A9" t="s">
        <v>188</v>
      </c>
      <c r="B9" t="str">
        <f t="shared" si="0"/>
        <v>Last Name</v>
      </c>
      <c r="C9" t="str">
        <f t="shared" si="1"/>
        <v>LastName AS [Last Name],</v>
      </c>
    </row>
    <row r="10" spans="1:3" x14ac:dyDescent="0.25">
      <c r="A10" t="s">
        <v>189</v>
      </c>
      <c r="B10" t="str">
        <f t="shared" si="0"/>
        <v>Name Style</v>
      </c>
      <c r="C10" t="str">
        <f t="shared" si="1"/>
        <v>NameStyle AS [Name Style],</v>
      </c>
    </row>
    <row r="11" spans="1:3" x14ac:dyDescent="0.25">
      <c r="A11" t="s">
        <v>190</v>
      </c>
      <c r="B11" t="str">
        <f t="shared" si="0"/>
        <v>Birth Date</v>
      </c>
      <c r="C11" t="str">
        <f t="shared" si="1"/>
        <v>BirthDate AS [Birth Date],</v>
      </c>
    </row>
    <row r="12" spans="1:3" x14ac:dyDescent="0.25">
      <c r="A12" t="s">
        <v>191</v>
      </c>
      <c r="B12" t="str">
        <f t="shared" si="0"/>
        <v>Marital Status</v>
      </c>
      <c r="C12" t="str">
        <f t="shared" si="1"/>
        <v>MaritalStatus AS [Marital Status],</v>
      </c>
    </row>
    <row r="13" spans="1:3" x14ac:dyDescent="0.25">
      <c r="A13" t="s">
        <v>40</v>
      </c>
      <c r="B13" t="str">
        <f t="shared" si="0"/>
        <v>Suffix</v>
      </c>
      <c r="C13" t="str">
        <f t="shared" si="1"/>
        <v>Suffix AS [Suffix],</v>
      </c>
    </row>
    <row r="14" spans="1:3" x14ac:dyDescent="0.25">
      <c r="A14" t="s">
        <v>192</v>
      </c>
      <c r="B14" t="str">
        <f t="shared" si="0"/>
        <v>Gender</v>
      </c>
      <c r="C14" t="str">
        <f t="shared" si="1"/>
        <v>Gender AS [Gender],</v>
      </c>
    </row>
    <row r="15" spans="1:3" x14ac:dyDescent="0.25">
      <c r="A15" t="s">
        <v>193</v>
      </c>
      <c r="B15" t="str">
        <f t="shared" si="0"/>
        <v>Email Address</v>
      </c>
      <c r="C15" t="str">
        <f t="shared" si="1"/>
        <v>EmailAddress AS [Email Address],</v>
      </c>
    </row>
    <row r="16" spans="1:3" x14ac:dyDescent="0.25">
      <c r="A16" t="s">
        <v>194</v>
      </c>
      <c r="B16" t="str">
        <f t="shared" si="0"/>
        <v>Yearly Income</v>
      </c>
      <c r="C16" t="str">
        <f t="shared" si="1"/>
        <v>YearlyIncome AS [Yearly Income],</v>
      </c>
    </row>
    <row r="17" spans="1:3" x14ac:dyDescent="0.25">
      <c r="A17" t="s">
        <v>195</v>
      </c>
      <c r="B17" t="str">
        <f t="shared" si="0"/>
        <v>Total Children</v>
      </c>
      <c r="C17" t="str">
        <f t="shared" si="1"/>
        <v>TotalChildren AS [Total Children],</v>
      </c>
    </row>
    <row r="18" spans="1:3" x14ac:dyDescent="0.25">
      <c r="A18" t="s">
        <v>196</v>
      </c>
      <c r="B18" t="str">
        <f t="shared" si="0"/>
        <v>Number Children At Home</v>
      </c>
      <c r="C18" t="str">
        <f t="shared" si="1"/>
        <v>NumberChildrenAtHome AS [Number Children At Home],</v>
      </c>
    </row>
    <row r="19" spans="1:3" x14ac:dyDescent="0.25">
      <c r="A19" t="s">
        <v>197</v>
      </c>
      <c r="B19" t="str">
        <f t="shared" si="0"/>
        <v>English Education</v>
      </c>
      <c r="C19" t="str">
        <f t="shared" si="1"/>
        <v>EnglishEducation AS [English Education],</v>
      </c>
    </row>
    <row r="20" spans="1:3" x14ac:dyDescent="0.25">
      <c r="A20" t="s">
        <v>198</v>
      </c>
      <c r="B20" t="str">
        <f t="shared" si="0"/>
        <v>Spanish Education</v>
      </c>
      <c r="C20" t="str">
        <f t="shared" si="1"/>
        <v>SpanishEducation AS [Spanish Education],</v>
      </c>
    </row>
    <row r="21" spans="1:3" x14ac:dyDescent="0.25">
      <c r="A21" t="s">
        <v>199</v>
      </c>
      <c r="B21" t="str">
        <f t="shared" si="0"/>
        <v>French Education</v>
      </c>
      <c r="C21" t="str">
        <f t="shared" si="1"/>
        <v>FrenchEducation AS [French Education],</v>
      </c>
    </row>
    <row r="22" spans="1:3" x14ac:dyDescent="0.25">
      <c r="A22" t="s">
        <v>200</v>
      </c>
      <c r="B22" t="str">
        <f t="shared" si="0"/>
        <v>English Occupation</v>
      </c>
      <c r="C22" t="str">
        <f t="shared" si="1"/>
        <v>EnglishOccupation AS [English Occupation],</v>
      </c>
    </row>
    <row r="23" spans="1:3" x14ac:dyDescent="0.25">
      <c r="A23" t="s">
        <v>201</v>
      </c>
      <c r="B23" t="str">
        <f t="shared" si="0"/>
        <v>Spanish Occupation</v>
      </c>
      <c r="C23" t="str">
        <f t="shared" si="1"/>
        <v>SpanishOccupation AS [Spanish Occupation],</v>
      </c>
    </row>
    <row r="24" spans="1:3" x14ac:dyDescent="0.25">
      <c r="A24" t="s">
        <v>202</v>
      </c>
      <c r="B24" t="str">
        <f t="shared" si="0"/>
        <v>French Occupation</v>
      </c>
      <c r="C24" t="str">
        <f t="shared" si="1"/>
        <v>FrenchOccupation AS [French Occupation],</v>
      </c>
    </row>
    <row r="25" spans="1:3" x14ac:dyDescent="0.25">
      <c r="A25" t="s">
        <v>203</v>
      </c>
      <c r="B25" t="str">
        <f t="shared" si="0"/>
        <v>House Owner Flag</v>
      </c>
      <c r="C25" t="str">
        <f t="shared" si="1"/>
        <v>HouseOwnerFlag AS [House Owner Flag],</v>
      </c>
    </row>
    <row r="26" spans="1:3" x14ac:dyDescent="0.25">
      <c r="A26" t="s">
        <v>204</v>
      </c>
      <c r="B26" t="str">
        <f t="shared" si="0"/>
        <v>Number Cars Owned</v>
      </c>
      <c r="C26" t="str">
        <f t="shared" si="1"/>
        <v>NumberCarsOwned AS [Number Cars Owned],</v>
      </c>
    </row>
    <row r="27" spans="1:3" x14ac:dyDescent="0.25">
      <c r="A27" t="s">
        <v>205</v>
      </c>
      <c r="B27" t="str">
        <f t="shared" si="0"/>
        <v>Address Line1</v>
      </c>
      <c r="C27" t="str">
        <f t="shared" si="1"/>
        <v>AddressLine1 AS [Address Line1],</v>
      </c>
    </row>
    <row r="28" spans="1:3" x14ac:dyDescent="0.25">
      <c r="A28" t="s">
        <v>206</v>
      </c>
      <c r="B28" t="str">
        <f t="shared" si="0"/>
        <v>Address Line2</v>
      </c>
      <c r="C28" t="str">
        <f t="shared" si="1"/>
        <v>AddressLine2 AS [Address Line2],</v>
      </c>
    </row>
    <row r="29" spans="1:3" x14ac:dyDescent="0.25">
      <c r="A29" t="s">
        <v>207</v>
      </c>
      <c r="B29" t="str">
        <f t="shared" si="0"/>
        <v>Phone</v>
      </c>
      <c r="C29" t="str">
        <f t="shared" si="1"/>
        <v>Phone AS [Phone],</v>
      </c>
    </row>
    <row r="30" spans="1:3" x14ac:dyDescent="0.25">
      <c r="A30" t="s">
        <v>208</v>
      </c>
      <c r="B30" t="str">
        <f t="shared" si="0"/>
        <v>Date First Purchase</v>
      </c>
      <c r="C30" t="str">
        <f t="shared" si="1"/>
        <v>DateFirstPurchase AS [Date First Purchase],</v>
      </c>
    </row>
    <row r="31" spans="1:3" x14ac:dyDescent="0.25">
      <c r="A31" t="s">
        <v>209</v>
      </c>
      <c r="B31" t="str">
        <f t="shared" si="0"/>
        <v>Commute Distance</v>
      </c>
      <c r="C31" t="str">
        <f t="shared" si="1"/>
        <v>CommuteDistance AS [Commute Distance],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32F33-085D-4148-B476-FE36DDAEF879}">
  <dimension ref="A1:J21"/>
  <sheetViews>
    <sheetView workbookViewId="0">
      <selection activeCell="F19" sqref="F19"/>
    </sheetView>
  </sheetViews>
  <sheetFormatPr defaultRowHeight="15" x14ac:dyDescent="0.25"/>
  <cols>
    <col min="1" max="1" width="27" bestFit="1" customWidth="1"/>
    <col min="2" max="2" width="31.5703125" bestFit="1" customWidth="1"/>
    <col min="3" max="3" width="38" bestFit="1" customWidth="1"/>
    <col min="4" max="4" width="70.42578125" bestFit="1" customWidth="1"/>
    <col min="6" max="6" width="23.28515625" customWidth="1"/>
    <col min="7" max="7" width="21.28515625" customWidth="1"/>
  </cols>
  <sheetData>
    <row r="1" spans="1:10" x14ac:dyDescent="0.25">
      <c r="A1" s="1" t="s">
        <v>181</v>
      </c>
      <c r="B1" s="1" t="s">
        <v>210</v>
      </c>
      <c r="C1" s="1"/>
      <c r="F1" s="3" t="s">
        <v>284</v>
      </c>
      <c r="G1" s="3"/>
      <c r="H1" s="3"/>
      <c r="I1" s="3"/>
      <c r="J1" s="3"/>
    </row>
    <row r="2" spans="1:10" x14ac:dyDescent="0.25">
      <c r="A2" s="1" t="s">
        <v>179</v>
      </c>
      <c r="B2" s="1" t="s">
        <v>180</v>
      </c>
      <c r="C2" s="1" t="s">
        <v>230</v>
      </c>
      <c r="D2" s="1" t="s">
        <v>211</v>
      </c>
      <c r="F2" s="1" t="s">
        <v>285</v>
      </c>
      <c r="G2" s="1" t="s">
        <v>286</v>
      </c>
    </row>
    <row r="3" spans="1:10" x14ac:dyDescent="0.25">
      <c r="A3" t="s">
        <v>44</v>
      </c>
      <c r="B3" t="str">
        <f>AddSpaces(A3)</f>
        <v>Date Key</v>
      </c>
      <c r="C3" t="s">
        <v>229</v>
      </c>
      <c r="D3" t="str">
        <f>A3&amp;" AS ["&amp;C3&amp;" "&amp;B3&amp;"],"</f>
        <v>DateKey AS [Transaction Date Date Key],</v>
      </c>
      <c r="F3" t="s">
        <v>287</v>
      </c>
      <c r="G3" t="s">
        <v>288</v>
      </c>
    </row>
    <row r="4" spans="1:10" x14ac:dyDescent="0.25">
      <c r="A4" t="s">
        <v>161</v>
      </c>
      <c r="B4" t="str">
        <f t="shared" ref="B4:B21" si="0">AddSpaces(A4)</f>
        <v>Full Date Alternate Key</v>
      </c>
      <c r="C4" t="s">
        <v>229</v>
      </c>
      <c r="D4" t="str">
        <f t="shared" ref="D4:D21" si="1">A4&amp;" AS ["&amp;C4&amp;" "&amp;B4&amp;"],"</f>
        <v>FullDateAlternateKey AS [Transaction Date Full Date Alternate Key],</v>
      </c>
      <c r="F4" t="s">
        <v>289</v>
      </c>
      <c r="G4" t="s">
        <v>290</v>
      </c>
    </row>
    <row r="5" spans="1:10" x14ac:dyDescent="0.25">
      <c r="A5" t="s">
        <v>212</v>
      </c>
      <c r="B5" t="str">
        <f t="shared" si="0"/>
        <v>Day Number Of Week</v>
      </c>
      <c r="C5" t="s">
        <v>229</v>
      </c>
      <c r="D5" t="str">
        <f t="shared" si="1"/>
        <v>DayNumberOfWeek AS [Transaction Date Day Number Of Week],</v>
      </c>
      <c r="F5" t="s">
        <v>295</v>
      </c>
      <c r="G5" t="s">
        <v>291</v>
      </c>
    </row>
    <row r="6" spans="1:10" x14ac:dyDescent="0.25">
      <c r="A6" t="s">
        <v>213</v>
      </c>
      <c r="B6" t="str">
        <f t="shared" si="0"/>
        <v>English Day Name Of Week</v>
      </c>
      <c r="C6" t="s">
        <v>229</v>
      </c>
      <c r="D6" t="str">
        <f t="shared" si="1"/>
        <v>EnglishDayNameOfWeek AS [Transaction Date English Day Name Of Week],</v>
      </c>
      <c r="F6" t="s">
        <v>294</v>
      </c>
      <c r="G6" t="s">
        <v>292</v>
      </c>
    </row>
    <row r="7" spans="1:10" x14ac:dyDescent="0.25">
      <c r="A7" t="s">
        <v>214</v>
      </c>
      <c r="B7" t="str">
        <f t="shared" si="0"/>
        <v>Spanish Day Name Of Week</v>
      </c>
      <c r="C7" t="s">
        <v>229</v>
      </c>
      <c r="D7" t="str">
        <f t="shared" si="1"/>
        <v>SpanishDayNameOfWeek AS [Transaction Date Spanish Day Name Of Week],</v>
      </c>
      <c r="F7" t="s">
        <v>293</v>
      </c>
      <c r="G7" t="s">
        <v>296</v>
      </c>
    </row>
    <row r="8" spans="1:10" x14ac:dyDescent="0.25">
      <c r="A8" t="s">
        <v>215</v>
      </c>
      <c r="B8" t="str">
        <f t="shared" si="0"/>
        <v>French Day Name Of Week</v>
      </c>
      <c r="C8" t="s">
        <v>229</v>
      </c>
      <c r="D8" t="str">
        <f t="shared" si="1"/>
        <v>FrenchDayNameOfWeek AS [Transaction Date French Day Name Of Week],</v>
      </c>
    </row>
    <row r="9" spans="1:10" x14ac:dyDescent="0.25">
      <c r="A9" t="s">
        <v>216</v>
      </c>
      <c r="B9" t="str">
        <f t="shared" si="0"/>
        <v>Day Number Of Month</v>
      </c>
      <c r="C9" t="s">
        <v>229</v>
      </c>
      <c r="D9" t="str">
        <f t="shared" si="1"/>
        <v>DayNumberOfMonth AS [Transaction Date Day Number Of Month],</v>
      </c>
    </row>
    <row r="10" spans="1:10" x14ac:dyDescent="0.25">
      <c r="A10" t="s">
        <v>217</v>
      </c>
      <c r="B10" t="str">
        <f t="shared" si="0"/>
        <v>Day Number Of Year</v>
      </c>
      <c r="C10" t="s">
        <v>229</v>
      </c>
      <c r="D10" t="str">
        <f t="shared" si="1"/>
        <v>DayNumberOfYear AS [Transaction Date Day Number Of Year],</v>
      </c>
    </row>
    <row r="11" spans="1:10" x14ac:dyDescent="0.25">
      <c r="A11" t="s">
        <v>218</v>
      </c>
      <c r="B11" t="str">
        <f t="shared" si="0"/>
        <v>Week Number Of Year</v>
      </c>
      <c r="C11" t="s">
        <v>229</v>
      </c>
      <c r="D11" t="str">
        <f t="shared" si="1"/>
        <v>WeekNumberOfYear AS [Transaction Date Week Number Of Year],</v>
      </c>
    </row>
    <row r="12" spans="1:10" x14ac:dyDescent="0.25">
      <c r="A12" t="s">
        <v>219</v>
      </c>
      <c r="B12" t="str">
        <f t="shared" si="0"/>
        <v>English Month Name</v>
      </c>
      <c r="C12" t="s">
        <v>229</v>
      </c>
      <c r="D12" t="str">
        <f t="shared" si="1"/>
        <v>EnglishMonthName AS [Transaction Date English Month Name],</v>
      </c>
    </row>
    <row r="13" spans="1:10" x14ac:dyDescent="0.25">
      <c r="A13" t="s">
        <v>220</v>
      </c>
      <c r="B13" t="str">
        <f t="shared" si="0"/>
        <v>Spanish Month Name</v>
      </c>
      <c r="C13" t="s">
        <v>229</v>
      </c>
      <c r="D13" t="str">
        <f t="shared" si="1"/>
        <v>SpanishMonthName AS [Transaction Date Spanish Month Name],</v>
      </c>
    </row>
    <row r="14" spans="1:10" x14ac:dyDescent="0.25">
      <c r="A14" t="s">
        <v>221</v>
      </c>
      <c r="B14" t="str">
        <f t="shared" si="0"/>
        <v>French Month Name</v>
      </c>
      <c r="C14" t="s">
        <v>229</v>
      </c>
      <c r="D14" t="str">
        <f t="shared" si="1"/>
        <v>FrenchMonthName AS [Transaction Date French Month Name],</v>
      </c>
    </row>
    <row r="15" spans="1:10" x14ac:dyDescent="0.25">
      <c r="A15" t="s">
        <v>222</v>
      </c>
      <c r="B15" t="str">
        <f t="shared" si="0"/>
        <v>Month Number Of Year</v>
      </c>
      <c r="C15" t="s">
        <v>229</v>
      </c>
      <c r="D15" t="str">
        <f t="shared" si="1"/>
        <v>MonthNumberOfYear AS [Transaction Date Month Number Of Year],</v>
      </c>
    </row>
    <row r="16" spans="1:10" x14ac:dyDescent="0.25">
      <c r="A16" t="s">
        <v>223</v>
      </c>
      <c r="B16" t="str">
        <f t="shared" si="0"/>
        <v>Calendar Quarter</v>
      </c>
      <c r="C16" t="s">
        <v>229</v>
      </c>
      <c r="D16" t="str">
        <f t="shared" si="1"/>
        <v>CalendarQuarter AS [Transaction Date Calendar Quarter],</v>
      </c>
    </row>
    <row r="17" spans="1:4" x14ac:dyDescent="0.25">
      <c r="A17" t="s">
        <v>224</v>
      </c>
      <c r="B17" t="str">
        <f t="shared" si="0"/>
        <v>Calendar Year</v>
      </c>
      <c r="C17" t="s">
        <v>229</v>
      </c>
      <c r="D17" t="str">
        <f t="shared" si="1"/>
        <v>CalendarYear AS [Transaction Date Calendar Year],</v>
      </c>
    </row>
    <row r="18" spans="1:4" x14ac:dyDescent="0.25">
      <c r="A18" t="s">
        <v>225</v>
      </c>
      <c r="B18" t="str">
        <f t="shared" si="0"/>
        <v>Calendar Semester</v>
      </c>
      <c r="C18" t="s">
        <v>229</v>
      </c>
      <c r="D18" t="str">
        <f t="shared" si="1"/>
        <v>CalendarSemester AS [Transaction Date Calendar Semester],</v>
      </c>
    </row>
    <row r="19" spans="1:4" x14ac:dyDescent="0.25">
      <c r="A19" t="s">
        <v>226</v>
      </c>
      <c r="B19" t="str">
        <f t="shared" si="0"/>
        <v>Fiscal Quarter</v>
      </c>
      <c r="C19" t="s">
        <v>229</v>
      </c>
      <c r="D19" t="str">
        <f t="shared" si="1"/>
        <v>FiscalQuarter AS [Transaction Date Fiscal Quarter],</v>
      </c>
    </row>
    <row r="20" spans="1:4" x14ac:dyDescent="0.25">
      <c r="A20" t="s">
        <v>227</v>
      </c>
      <c r="B20" t="str">
        <f t="shared" si="0"/>
        <v>Fiscal Year</v>
      </c>
      <c r="C20" t="s">
        <v>229</v>
      </c>
      <c r="D20" t="str">
        <f t="shared" si="1"/>
        <v>FiscalYear AS [Transaction Date Fiscal Year],</v>
      </c>
    </row>
    <row r="21" spans="1:4" x14ac:dyDescent="0.25">
      <c r="A21" t="s">
        <v>228</v>
      </c>
      <c r="B21" t="str">
        <f t="shared" si="0"/>
        <v>Fiscal Semester</v>
      </c>
      <c r="C21" t="s">
        <v>229</v>
      </c>
      <c r="D21" t="str">
        <f t="shared" si="1"/>
        <v>FiscalSemester AS [Transaction Date Fiscal Semester],</v>
      </c>
    </row>
  </sheetData>
  <mergeCells count="1">
    <mergeCell ref="F1:J1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H31"/>
  <sheetViews>
    <sheetView workbookViewId="0">
      <selection activeCell="F19" sqref="F19"/>
    </sheetView>
  </sheetViews>
  <sheetFormatPr defaultRowHeight="15" x14ac:dyDescent="0.25"/>
  <cols>
    <col min="1" max="1" width="17.42578125" bestFit="1" customWidth="1"/>
    <col min="2" max="2" width="10.28515625" bestFit="1" customWidth="1"/>
    <col min="3" max="3" width="20.140625" bestFit="1" customWidth="1"/>
    <col min="4" max="4" width="20.140625" customWidth="1"/>
    <col min="5" max="5" width="30.28515625" bestFit="1" customWidth="1"/>
    <col min="6" max="6" width="10.5703125" bestFit="1" customWidth="1"/>
    <col min="7" max="7" width="26.42578125" bestFit="1" customWidth="1"/>
    <col min="8" max="8" width="28.5703125" bestFit="1" customWidth="1"/>
    <col min="13" max="13" width="26.5703125" bestFit="1" customWidth="1"/>
    <col min="14" max="14" width="18.7109375" bestFit="1" customWidth="1"/>
    <col min="16" max="16" width="30.28515625" bestFit="1" customWidth="1"/>
  </cols>
  <sheetData>
    <row r="1" spans="1:8" x14ac:dyDescent="0.25">
      <c r="A1" s="4" t="s">
        <v>251</v>
      </c>
      <c r="B1" s="4"/>
      <c r="C1" s="4"/>
      <c r="E1" s="4" t="s">
        <v>252</v>
      </c>
      <c r="F1" s="4"/>
      <c r="G1" s="4"/>
      <c r="H1" s="4"/>
    </row>
    <row r="2" spans="1:8" x14ac:dyDescent="0.25">
      <c r="A2" s="1" t="s">
        <v>231</v>
      </c>
      <c r="B2" s="1" t="s">
        <v>232</v>
      </c>
      <c r="C2" s="1" t="s">
        <v>233</v>
      </c>
      <c r="E2" s="1" t="s">
        <v>231</v>
      </c>
      <c r="F2" s="1" t="s">
        <v>34</v>
      </c>
      <c r="G2" s="1" t="s">
        <v>35</v>
      </c>
      <c r="H2" s="1" t="s">
        <v>35</v>
      </c>
    </row>
    <row r="3" spans="1:8" x14ac:dyDescent="0.25">
      <c r="A3" t="s">
        <v>239</v>
      </c>
      <c r="B3" t="s">
        <v>244</v>
      </c>
      <c r="C3" t="s">
        <v>234</v>
      </c>
      <c r="E3" t="s">
        <v>282</v>
      </c>
      <c r="F3" t="str">
        <f>VLOOKUP(E3,A:C,2,FALSE)</f>
        <v>c</v>
      </c>
      <c r="G3" t="s">
        <v>253</v>
      </c>
      <c r="H3" t="str">
        <f>F3&amp;"."&amp;G3&amp;","</f>
        <v>c.[Customer Key],</v>
      </c>
    </row>
    <row r="4" spans="1:8" x14ac:dyDescent="0.25">
      <c r="A4" t="s">
        <v>240</v>
      </c>
      <c r="B4" t="s">
        <v>245</v>
      </c>
      <c r="C4" t="s">
        <v>235</v>
      </c>
      <c r="E4" t="s">
        <v>282</v>
      </c>
      <c r="F4" t="str">
        <f t="shared" ref="F4:F31" si="0">VLOOKUP(E4,A:C,2,FALSE)</f>
        <v>c</v>
      </c>
      <c r="G4" t="s">
        <v>254</v>
      </c>
      <c r="H4" t="str">
        <f t="shared" ref="H4:H31" si="1">F4&amp;"."&amp;G4&amp;","</f>
        <v>c.[Geography Key],</v>
      </c>
    </row>
    <row r="5" spans="1:8" x14ac:dyDescent="0.25">
      <c r="A5" t="s">
        <v>241</v>
      </c>
      <c r="B5" t="s">
        <v>246</v>
      </c>
      <c r="C5" t="s">
        <v>236</v>
      </c>
      <c r="E5" t="s">
        <v>282</v>
      </c>
      <c r="F5" t="str">
        <f t="shared" si="0"/>
        <v>c</v>
      </c>
      <c r="G5" t="s">
        <v>255</v>
      </c>
      <c r="H5" t="str">
        <f t="shared" si="1"/>
        <v>c.[Customer Alternate Key],</v>
      </c>
    </row>
    <row r="6" spans="1:8" x14ac:dyDescent="0.25">
      <c r="A6" t="s">
        <v>242</v>
      </c>
      <c r="B6" t="s">
        <v>247</v>
      </c>
      <c r="C6" t="s">
        <v>237</v>
      </c>
      <c r="E6" t="s">
        <v>282</v>
      </c>
      <c r="F6" t="str">
        <f t="shared" si="0"/>
        <v>c</v>
      </c>
      <c r="G6" t="s">
        <v>256</v>
      </c>
      <c r="H6" t="str">
        <f t="shared" si="1"/>
        <v>c.[Title],</v>
      </c>
    </row>
    <row r="7" spans="1:8" x14ac:dyDescent="0.25">
      <c r="A7" t="s">
        <v>243</v>
      </c>
      <c r="B7" t="s">
        <v>248</v>
      </c>
      <c r="C7" t="s">
        <v>238</v>
      </c>
      <c r="E7" t="s">
        <v>282</v>
      </c>
      <c r="F7" t="str">
        <f t="shared" si="0"/>
        <v>c</v>
      </c>
      <c r="G7" t="s">
        <v>257</v>
      </c>
      <c r="H7" t="str">
        <f t="shared" si="1"/>
        <v>c.[First Name],</v>
      </c>
    </row>
    <row r="8" spans="1:8" x14ac:dyDescent="0.25">
      <c r="A8" t="s">
        <v>249</v>
      </c>
      <c r="B8" t="s">
        <v>250</v>
      </c>
      <c r="E8" t="s">
        <v>282</v>
      </c>
      <c r="F8" t="str">
        <f t="shared" si="0"/>
        <v>c</v>
      </c>
      <c r="G8" t="s">
        <v>258</v>
      </c>
      <c r="H8" t="str">
        <f t="shared" si="1"/>
        <v>c.[Middle Name],</v>
      </c>
    </row>
    <row r="9" spans="1:8" x14ac:dyDescent="0.25">
      <c r="A9" t="s">
        <v>282</v>
      </c>
      <c r="B9" t="s">
        <v>36</v>
      </c>
      <c r="C9" t="s">
        <v>283</v>
      </c>
      <c r="E9" t="s">
        <v>282</v>
      </c>
      <c r="F9" t="str">
        <f t="shared" si="0"/>
        <v>c</v>
      </c>
      <c r="G9" t="s">
        <v>259</v>
      </c>
      <c r="H9" t="str">
        <f t="shared" si="1"/>
        <v>c.[Last Name],</v>
      </c>
    </row>
    <row r="10" spans="1:8" x14ac:dyDescent="0.25">
      <c r="E10" t="s">
        <v>282</v>
      </c>
      <c r="F10" t="str">
        <f t="shared" si="0"/>
        <v>c</v>
      </c>
      <c r="G10" t="s">
        <v>260</v>
      </c>
      <c r="H10" t="str">
        <f t="shared" si="1"/>
        <v>c.[Name Style],</v>
      </c>
    </row>
    <row r="11" spans="1:8" x14ac:dyDescent="0.25">
      <c r="E11" t="s">
        <v>282</v>
      </c>
      <c r="F11" t="str">
        <f t="shared" si="0"/>
        <v>c</v>
      </c>
      <c r="G11" t="s">
        <v>261</v>
      </c>
      <c r="H11" t="str">
        <f t="shared" si="1"/>
        <v>c.[Birth Date],</v>
      </c>
    </row>
    <row r="12" spans="1:8" x14ac:dyDescent="0.25">
      <c r="E12" t="s">
        <v>282</v>
      </c>
      <c r="F12" t="str">
        <f t="shared" si="0"/>
        <v>c</v>
      </c>
      <c r="G12" t="s">
        <v>262</v>
      </c>
      <c r="H12" t="str">
        <f t="shared" si="1"/>
        <v>c.[Marital Status],</v>
      </c>
    </row>
    <row r="13" spans="1:8" x14ac:dyDescent="0.25">
      <c r="E13" t="s">
        <v>282</v>
      </c>
      <c r="F13" t="str">
        <f t="shared" si="0"/>
        <v>c</v>
      </c>
      <c r="G13" t="s">
        <v>263</v>
      </c>
      <c r="H13" t="str">
        <f t="shared" si="1"/>
        <v>c.[Suffix],</v>
      </c>
    </row>
    <row r="14" spans="1:8" x14ac:dyDescent="0.25">
      <c r="E14" t="s">
        <v>282</v>
      </c>
      <c r="F14" t="str">
        <f t="shared" si="0"/>
        <v>c</v>
      </c>
      <c r="G14" t="s">
        <v>264</v>
      </c>
      <c r="H14" t="str">
        <f t="shared" si="1"/>
        <v>c.[Gender],</v>
      </c>
    </row>
    <row r="15" spans="1:8" x14ac:dyDescent="0.25">
      <c r="E15" t="s">
        <v>282</v>
      </c>
      <c r="F15" t="str">
        <f t="shared" si="0"/>
        <v>c</v>
      </c>
      <c r="G15" t="s">
        <v>265</v>
      </c>
      <c r="H15" t="str">
        <f t="shared" si="1"/>
        <v>c.[Email Address],</v>
      </c>
    </row>
    <row r="16" spans="1:8" x14ac:dyDescent="0.25">
      <c r="E16" t="s">
        <v>282</v>
      </c>
      <c r="F16" t="str">
        <f t="shared" si="0"/>
        <v>c</v>
      </c>
      <c r="G16" t="s">
        <v>266</v>
      </c>
      <c r="H16" t="str">
        <f t="shared" si="1"/>
        <v>c.[Yearly Income],</v>
      </c>
    </row>
    <row r="17" spans="5:8" x14ac:dyDescent="0.25">
      <c r="E17" t="s">
        <v>282</v>
      </c>
      <c r="F17" t="str">
        <f t="shared" si="0"/>
        <v>c</v>
      </c>
      <c r="G17" t="s">
        <v>267</v>
      </c>
      <c r="H17" t="str">
        <f t="shared" si="1"/>
        <v>c.[Total Children],</v>
      </c>
    </row>
    <row r="18" spans="5:8" x14ac:dyDescent="0.25">
      <c r="E18" t="s">
        <v>282</v>
      </c>
      <c r="F18" t="str">
        <f t="shared" si="0"/>
        <v>c</v>
      </c>
      <c r="G18" t="s">
        <v>268</v>
      </c>
      <c r="H18" t="str">
        <f t="shared" si="1"/>
        <v>c.[Number Children At Home],</v>
      </c>
    </row>
    <row r="19" spans="5:8" x14ac:dyDescent="0.25">
      <c r="E19" t="s">
        <v>282</v>
      </c>
      <c r="F19" t="str">
        <f t="shared" si="0"/>
        <v>c</v>
      </c>
      <c r="G19" t="s">
        <v>269</v>
      </c>
      <c r="H19" t="str">
        <f t="shared" si="1"/>
        <v>c.[English Education],</v>
      </c>
    </row>
    <row r="20" spans="5:8" x14ac:dyDescent="0.25">
      <c r="E20" t="s">
        <v>282</v>
      </c>
      <c r="F20" t="str">
        <f t="shared" si="0"/>
        <v>c</v>
      </c>
      <c r="G20" t="s">
        <v>270</v>
      </c>
      <c r="H20" t="str">
        <f t="shared" si="1"/>
        <v>c.[Spanish Education],</v>
      </c>
    </row>
    <row r="21" spans="5:8" x14ac:dyDescent="0.25">
      <c r="E21" t="s">
        <v>282</v>
      </c>
      <c r="F21" t="str">
        <f t="shared" si="0"/>
        <v>c</v>
      </c>
      <c r="G21" t="s">
        <v>271</v>
      </c>
      <c r="H21" t="str">
        <f t="shared" si="1"/>
        <v>c.[French Education],</v>
      </c>
    </row>
    <row r="22" spans="5:8" x14ac:dyDescent="0.25">
      <c r="E22" t="s">
        <v>282</v>
      </c>
      <c r="F22" t="str">
        <f t="shared" si="0"/>
        <v>c</v>
      </c>
      <c r="G22" t="s">
        <v>272</v>
      </c>
      <c r="H22" t="str">
        <f t="shared" si="1"/>
        <v>c.[English Occupation],</v>
      </c>
    </row>
    <row r="23" spans="5:8" x14ac:dyDescent="0.25">
      <c r="E23" t="s">
        <v>282</v>
      </c>
      <c r="F23" t="str">
        <f t="shared" si="0"/>
        <v>c</v>
      </c>
      <c r="G23" t="s">
        <v>273</v>
      </c>
      <c r="H23" t="str">
        <f t="shared" si="1"/>
        <v>c.[Spanish Occupation],</v>
      </c>
    </row>
    <row r="24" spans="5:8" x14ac:dyDescent="0.25">
      <c r="E24" t="s">
        <v>282</v>
      </c>
      <c r="F24" t="str">
        <f t="shared" si="0"/>
        <v>c</v>
      </c>
      <c r="G24" t="s">
        <v>274</v>
      </c>
      <c r="H24" t="str">
        <f t="shared" si="1"/>
        <v>c.[French Occupation],</v>
      </c>
    </row>
    <row r="25" spans="5:8" x14ac:dyDescent="0.25">
      <c r="E25" t="s">
        <v>282</v>
      </c>
      <c r="F25" t="str">
        <f t="shared" si="0"/>
        <v>c</v>
      </c>
      <c r="G25" t="s">
        <v>275</v>
      </c>
      <c r="H25" t="str">
        <f t="shared" si="1"/>
        <v>c.[House Owner Flag],</v>
      </c>
    </row>
    <row r="26" spans="5:8" x14ac:dyDescent="0.25">
      <c r="E26" t="s">
        <v>282</v>
      </c>
      <c r="F26" t="str">
        <f t="shared" si="0"/>
        <v>c</v>
      </c>
      <c r="G26" t="s">
        <v>276</v>
      </c>
      <c r="H26" t="str">
        <f t="shared" si="1"/>
        <v>c.[Number Cars Owned],</v>
      </c>
    </row>
    <row r="27" spans="5:8" x14ac:dyDescent="0.25">
      <c r="E27" t="s">
        <v>282</v>
      </c>
      <c r="F27" t="str">
        <f t="shared" si="0"/>
        <v>c</v>
      </c>
      <c r="G27" t="s">
        <v>277</v>
      </c>
      <c r="H27" t="str">
        <f t="shared" si="1"/>
        <v>c.[Address Line1],</v>
      </c>
    </row>
    <row r="28" spans="5:8" x14ac:dyDescent="0.25">
      <c r="E28" t="s">
        <v>282</v>
      </c>
      <c r="F28" t="str">
        <f t="shared" si="0"/>
        <v>c</v>
      </c>
      <c r="G28" t="s">
        <v>278</v>
      </c>
      <c r="H28" t="str">
        <f t="shared" si="1"/>
        <v>c.[Address Line2],</v>
      </c>
    </row>
    <row r="29" spans="5:8" x14ac:dyDescent="0.25">
      <c r="E29" t="s">
        <v>282</v>
      </c>
      <c r="F29" t="str">
        <f t="shared" si="0"/>
        <v>c</v>
      </c>
      <c r="G29" t="s">
        <v>279</v>
      </c>
      <c r="H29" t="str">
        <f t="shared" si="1"/>
        <v>c.[Phone],</v>
      </c>
    </row>
    <row r="30" spans="5:8" x14ac:dyDescent="0.25">
      <c r="E30" t="s">
        <v>282</v>
      </c>
      <c r="F30" t="str">
        <f t="shared" si="0"/>
        <v>c</v>
      </c>
      <c r="G30" t="s">
        <v>280</v>
      </c>
      <c r="H30" t="str">
        <f t="shared" si="1"/>
        <v>c.[Date First Purchase],</v>
      </c>
    </row>
    <row r="31" spans="5:8" x14ac:dyDescent="0.25">
      <c r="E31" t="s">
        <v>282</v>
      </c>
      <c r="F31" t="str">
        <f t="shared" si="0"/>
        <v>c</v>
      </c>
      <c r="G31" t="s">
        <v>281</v>
      </c>
      <c r="H31" t="str">
        <f t="shared" si="1"/>
        <v>c.[Commute Distance],</v>
      </c>
    </row>
  </sheetData>
  <mergeCells count="2">
    <mergeCell ref="A1:C1"/>
    <mergeCell ref="E1:H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8774A-22DD-4ED3-9D88-92EF9655EC51}">
  <dimension ref="A1:A16"/>
  <sheetViews>
    <sheetView workbookViewId="0">
      <selection activeCell="A17" sqref="A17"/>
    </sheetView>
  </sheetViews>
  <sheetFormatPr defaultRowHeight="15" x14ac:dyDescent="0.25"/>
  <cols>
    <col min="1" max="1" width="16.7109375" bestFit="1" customWidth="1"/>
  </cols>
  <sheetData>
    <row r="1" spans="1:1" x14ac:dyDescent="0.25">
      <c r="A1" s="1" t="s">
        <v>312</v>
      </c>
    </row>
    <row r="2" spans="1:1" x14ac:dyDescent="0.25">
      <c r="A2" t="s">
        <v>313</v>
      </c>
    </row>
    <row r="3" spans="1:1" x14ac:dyDescent="0.25">
      <c r="A3" t="s">
        <v>314</v>
      </c>
    </row>
    <row r="4" spans="1:1" x14ac:dyDescent="0.25">
      <c r="A4" t="s">
        <v>315</v>
      </c>
    </row>
    <row r="5" spans="1:1" x14ac:dyDescent="0.25">
      <c r="A5" t="s">
        <v>316</v>
      </c>
    </row>
    <row r="6" spans="1:1" x14ac:dyDescent="0.25">
      <c r="A6" t="s">
        <v>37</v>
      </c>
    </row>
    <row r="7" spans="1:1" x14ac:dyDescent="0.25">
      <c r="A7" t="s">
        <v>146</v>
      </c>
    </row>
    <row r="8" spans="1:1" x14ac:dyDescent="0.25">
      <c r="A8" t="s">
        <v>317</v>
      </c>
    </row>
    <row r="9" spans="1:1" x14ac:dyDescent="0.25">
      <c r="A9" t="s">
        <v>318</v>
      </c>
    </row>
    <row r="10" spans="1:1" x14ac:dyDescent="0.25">
      <c r="A10" t="s">
        <v>145</v>
      </c>
    </row>
    <row r="11" spans="1:1" x14ac:dyDescent="0.25">
      <c r="A11" t="s">
        <v>319</v>
      </c>
    </row>
    <row r="12" spans="1:1" x14ac:dyDescent="0.25">
      <c r="A12" t="s">
        <v>26</v>
      </c>
    </row>
    <row r="13" spans="1:1" x14ac:dyDescent="0.25">
      <c r="A13" t="s">
        <v>320</v>
      </c>
    </row>
    <row r="14" spans="1:1" x14ac:dyDescent="0.25">
      <c r="A14" t="s">
        <v>147</v>
      </c>
    </row>
    <row r="15" spans="1:1" x14ac:dyDescent="0.25">
      <c r="A15" t="s">
        <v>144</v>
      </c>
    </row>
    <row r="16" spans="1:1" x14ac:dyDescent="0.25">
      <c r="A16" t="s">
        <v>321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Record Count</vt:lpstr>
      <vt:lpstr>Sample Data</vt:lpstr>
      <vt:lpstr>Column Notes</vt:lpstr>
      <vt:lpstr>Create Stage Table</vt:lpstr>
      <vt:lpstr>Char Length Analysis</vt:lpstr>
      <vt:lpstr>Column Cleansing Notes</vt:lpstr>
      <vt:lpstr>Source To Target Mapping</vt:lpstr>
      <vt:lpstr>Dimension List</vt:lpstr>
      <vt:lpstr>Fact Table Creation Helper</vt:lpstr>
      <vt:lpstr>Foreign Key Creation</vt:lpstr>
      <vt:lpstr>Process Fact Script Helper</vt:lpstr>
      <vt:lpstr>Indexed View Creation Helper</vt:lpstr>
      <vt:lpstr>Date Role Play View Helper</vt:lpstr>
      <vt:lpstr>Reporting View Creation Helper</vt:lpstr>
      <vt:lpstr>List Population 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Bob</cp:lastModifiedBy>
  <dcterms:created xsi:type="dcterms:W3CDTF">2015-06-05T18:17:20Z</dcterms:created>
  <dcterms:modified xsi:type="dcterms:W3CDTF">2019-03-24T04:44:35Z</dcterms:modified>
</cp:coreProperties>
</file>